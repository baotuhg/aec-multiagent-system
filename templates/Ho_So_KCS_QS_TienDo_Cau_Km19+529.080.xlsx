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ONG_HOP_DU_TOAN_GXD" sheetId="4" state="visible" r:id="rId4"/>
    <sheet xmlns:r="http://schemas.openxmlformats.org/officeDocument/2006/relationships" name="THANH_TOAN_KY_PHU_LUC_03A" sheetId="5" state="visible" r:id="rId5"/>
    <sheet xmlns:r="http://schemas.openxmlformats.org/officeDocument/2006/relationships" name="TIEN_DO_THI_CONG_WBS" sheetId="6" state="visible" r:id="rId6"/>
    <sheet xmlns:r="http://schemas.openxmlformats.org/officeDocument/2006/relationships" name="HOSO_KCS_NGHIEM_THU" sheetId="7" state="visible" r:id="rId7"/>
    <sheet xmlns:r="http://schemas.openxmlformats.org/officeDocument/2006/relationships" name="PHAN_TICH_VAT_TU_WBS" sheetId="8" state="visible" r:id="rId8"/>
    <sheet xmlns:r="http://schemas.openxmlformats.org/officeDocument/2006/relationships" name="TONG_HOP_VAT_TU_TOAN_B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#,##0.0"/>
    <numFmt numFmtId="166" formatCode="#,##0.000"/>
    <numFmt numFmtId="167" formatCode="0.0%"/>
  </numFmts>
  <fonts count="9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244061"/>
        <bgColor rgb="00244061"/>
      </patternFill>
    </fill>
    <fill>
      <patternFill patternType="solid">
        <fgColor rgb="00366092"/>
        <bgColor rgb="0036609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4F81BD"/>
        <bgColor rgb="004F81BD"/>
      </patternFill>
    </fill>
    <fill>
      <patternFill patternType="solid">
        <fgColor rgb="00EBF1F5"/>
        <bgColor rgb="00EBF1F5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3" borderId="2" applyAlignment="1" pivotButton="0" quotePrefix="0" xfId="0">
      <alignment horizontal="right" vertical="center"/>
    </xf>
    <xf numFmtId="0" fontId="0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0" fontId="2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4" fontId="6" fillId="0" borderId="1" pivotButton="0" quotePrefix="0" xfId="0"/>
    <xf numFmtId="3" fontId="6" fillId="0" borderId="1" applyAlignment="1" pivotButton="0" quotePrefix="0" xfId="0">
      <alignment horizontal="right" vertical="center"/>
    </xf>
    <xf numFmtId="3" fontId="6" fillId="0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" fontId="5" fillId="5" borderId="1" pivotButton="0" quotePrefix="0" xfId="0"/>
    <xf numFmtId="3" fontId="6" fillId="3" borderId="2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4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166" fontId="0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2" fillId="4" borderId="1" applyAlignment="1" pivotButton="0" quotePrefix="0" xfId="0">
      <alignment horizontal="left" vertical="center"/>
    </xf>
    <xf numFmtId="167" fontId="0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3" fontId="5" fillId="11" borderId="1" applyAlignment="1" pivotButton="0" quotePrefix="0" xfId="0">
      <alignment horizontal="right" vertical="center"/>
    </xf>
    <xf numFmtId="0" fontId="1" fillId="3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2" customWidth="1" min="10" max="10"/>
    <col width="16" customWidth="1" min="11" max="11"/>
    <col width="1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 HỢP CẮT THÉP CÂY NGUYÊN 11.7m (1D CUTTING STOCK) - CẦU KM19+529.080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 ht="20" customHeight="1">
      <c r="A6" s="5" t="inlineStr">
        <is>
          <t>1</t>
        </is>
      </c>
      <c r="B6" s="6" t="inlineStr">
        <is>
          <t>Thép chủ cọc khoan nhồi D1200mm (M1, T1, T2, M2)</t>
        </is>
      </c>
      <c r="C6" s="5" t="n">
        <v>25</v>
      </c>
      <c r="D6" s="7" t="n">
        <v>480</v>
      </c>
      <c r="E6" s="8" t="n">
        <v>11.2</v>
      </c>
      <c r="F6" s="9">
        <f>D6*E6</f>
        <v/>
      </c>
      <c r="G6" s="5" t="n">
        <v>11.7</v>
      </c>
      <c r="H6" s="10">
        <f>ROUNDUP(F6/G6, 0)</f>
        <v/>
      </c>
      <c r="I6" s="9">
        <f>H6*G6</f>
        <v/>
      </c>
      <c r="J6" s="9">
        <f>I6-F6</f>
        <v/>
      </c>
      <c r="K6" s="9">
        <f>F6*3.853</f>
        <v/>
      </c>
      <c r="L6" s="11">
        <f>(J6/I6)*100</f>
        <v/>
      </c>
    </row>
    <row r="7" ht="20" customHeight="1">
      <c r="A7" s="5" t="inlineStr">
        <is>
          <t>2</t>
        </is>
      </c>
      <c r="B7" s="6" t="inlineStr">
        <is>
          <t>Thép đai tăng cường cọc khoan nhồi D1200mm</t>
        </is>
      </c>
      <c r="C7" s="5" t="n">
        <v>16</v>
      </c>
      <c r="D7" s="7" t="n">
        <v>620</v>
      </c>
      <c r="E7" s="8" t="n">
        <v>3.85</v>
      </c>
      <c r="F7" s="9">
        <f>D7*E7</f>
        <v/>
      </c>
      <c r="G7" s="5" t="n">
        <v>11.7</v>
      </c>
      <c r="H7" s="10">
        <f>ROUNDUP(F7/G7, 0)</f>
        <v/>
      </c>
      <c r="I7" s="9">
        <f>H7*G7</f>
        <v/>
      </c>
      <c r="J7" s="9">
        <f>I7-F7</f>
        <v/>
      </c>
      <c r="K7" s="9">
        <f>F7*1.578</f>
        <v/>
      </c>
      <c r="L7" s="11">
        <f>(J7/I7)*100</f>
        <v/>
      </c>
    </row>
    <row r="8" ht="20" customHeight="1">
      <c r="A8" s="5" t="inlineStr">
        <is>
          <t>3</t>
        </is>
      </c>
      <c r="B8" s="6" t="inlineStr">
        <is>
          <t>Thép đai xoắn liên tục cọc khoan nhồi D1200mm</t>
        </is>
      </c>
      <c r="C8" s="5" t="n">
        <v>10</v>
      </c>
      <c r="D8" s="7" t="n">
        <v>850</v>
      </c>
      <c r="E8" s="8" t="n">
        <v>2.9</v>
      </c>
      <c r="F8" s="9">
        <f>D8*E8</f>
        <v/>
      </c>
      <c r="G8" s="5" t="n">
        <v>11.7</v>
      </c>
      <c r="H8" s="10">
        <f>ROUNDUP(F8/G8, 0)</f>
        <v/>
      </c>
      <c r="I8" s="9">
        <f>H8*G8</f>
        <v/>
      </c>
      <c r="J8" s="9">
        <f>I8-F8</f>
        <v/>
      </c>
      <c r="K8" s="9">
        <f>F8*0.617</f>
        <v/>
      </c>
      <c r="L8" s="11">
        <f>(J8/I8)*100</f>
        <v/>
      </c>
    </row>
    <row r="9" ht="20" customHeight="1">
      <c r="A9" s="5" t="inlineStr">
        <is>
          <t>4</t>
        </is>
      </c>
      <c r="B9" s="6" t="inlineStr">
        <is>
          <t>Thép chịu lực đáy bệ móng mố M1, M2 &amp; trụ T1, T2</t>
        </is>
      </c>
      <c r="C9" s="5" t="n">
        <v>32</v>
      </c>
      <c r="D9" s="7" t="n">
        <v>240</v>
      </c>
      <c r="E9" s="8" t="n">
        <v>5.75</v>
      </c>
      <c r="F9" s="9">
        <f>D9*E9</f>
        <v/>
      </c>
      <c r="G9" s="5" t="n">
        <v>11.7</v>
      </c>
      <c r="H9" s="10">
        <f>ROUNDUP(F9/G9, 0)</f>
        <v/>
      </c>
      <c r="I9" s="9">
        <f>H9*G9</f>
        <v/>
      </c>
      <c r="J9" s="9">
        <f>I9-F9</f>
        <v/>
      </c>
      <c r="K9" s="9">
        <f>F9*6.313</f>
        <v/>
      </c>
      <c r="L9" s="11">
        <f>(J9/I9)*100</f>
        <v/>
      </c>
    </row>
    <row r="10" ht="20" customHeight="1">
      <c r="A10" s="5" t="inlineStr">
        <is>
          <t>5</t>
        </is>
      </c>
      <c r="B10" s="6" t="inlineStr">
        <is>
          <t>Thép phân bố bệ móng mố và bệ trụ</t>
        </is>
      </c>
      <c r="C10" s="5" t="n">
        <v>20</v>
      </c>
      <c r="D10" s="7" t="n">
        <v>310</v>
      </c>
      <c r="E10" s="8" t="n">
        <v>8.4</v>
      </c>
      <c r="F10" s="9">
        <f>D10*E10</f>
        <v/>
      </c>
      <c r="G10" s="5" t="n">
        <v>11.7</v>
      </c>
      <c r="H10" s="10">
        <f>ROUNDUP(F10/G10, 0)</f>
        <v/>
      </c>
      <c r="I10" s="9">
        <f>H10*G10</f>
        <v/>
      </c>
      <c r="J10" s="9">
        <f>I10-F10</f>
        <v/>
      </c>
      <c r="K10" s="9">
        <f>F10*2.466</f>
        <v/>
      </c>
      <c r="L10" s="11">
        <f>(J10/I10)*100</f>
        <v/>
      </c>
    </row>
    <row r="11" ht="20" customHeight="1">
      <c r="A11" s="5" t="inlineStr">
        <is>
          <t>6</t>
        </is>
      </c>
      <c r="B11" s="6" t="inlineStr">
        <is>
          <t>Thép đứng thân mố chân dê M1 và mố chữ U M2</t>
        </is>
      </c>
      <c r="C11" s="5" t="n">
        <v>28</v>
      </c>
      <c r="D11" s="7" t="n">
        <v>180</v>
      </c>
      <c r="E11" s="8" t="n">
        <v>7.8</v>
      </c>
      <c r="F11" s="9">
        <f>D11*E11</f>
        <v/>
      </c>
      <c r="G11" s="5" t="n">
        <v>11.7</v>
      </c>
      <c r="H11" s="10">
        <f>ROUNDUP(F11/G11, 0)</f>
        <v/>
      </c>
      <c r="I11" s="9">
        <f>H11*G11</f>
        <v/>
      </c>
      <c r="J11" s="9">
        <f>I11-F11</f>
        <v/>
      </c>
      <c r="K11" s="9">
        <f>F11*4.834</f>
        <v/>
      </c>
      <c r="L11" s="11">
        <f>(J11/I11)*100</f>
        <v/>
      </c>
    </row>
    <row r="12" ht="20" customHeight="1">
      <c r="A12" s="5" t="inlineStr">
        <is>
          <t>7</t>
        </is>
      </c>
      <c r="B12" s="6" t="inlineStr">
        <is>
          <t>Thép đứng thân đặc trụ T1 và T2</t>
        </is>
      </c>
      <c r="C12" s="5" t="n">
        <v>32</v>
      </c>
      <c r="D12" s="7" t="n">
        <v>320</v>
      </c>
      <c r="E12" s="8" t="n">
        <v>9.6</v>
      </c>
      <c r="F12" s="9">
        <f>D12*E12</f>
        <v/>
      </c>
      <c r="G12" s="5" t="n">
        <v>11.7</v>
      </c>
      <c r="H12" s="10">
        <f>ROUNDUP(F12/G12, 0)</f>
        <v/>
      </c>
      <c r="I12" s="9">
        <f>H12*G12</f>
        <v/>
      </c>
      <c r="J12" s="9">
        <f>I12-F12</f>
        <v/>
      </c>
      <c r="K12" s="9">
        <f>F12*6.313</f>
        <v/>
      </c>
      <c r="L12" s="11">
        <f>(J12/I12)*100</f>
        <v/>
      </c>
    </row>
    <row r="13" ht="20" customHeight="1">
      <c r="A13" s="5" t="inlineStr">
        <is>
          <t>8</t>
        </is>
      </c>
      <c r="B13" s="6" t="inlineStr">
        <is>
          <t>Thép xà mũ trụ T1, T2 chịu uốn &amp; chịu cắt</t>
        </is>
      </c>
      <c r="C13" s="5" t="n">
        <v>28</v>
      </c>
      <c r="D13" s="7" t="n">
        <v>160</v>
      </c>
      <c r="E13" s="8" t="n">
        <v>10.5</v>
      </c>
      <c r="F13" s="9">
        <f>D13*E13</f>
        <v/>
      </c>
      <c r="G13" s="5" t="n">
        <v>11.7</v>
      </c>
      <c r="H13" s="10">
        <f>ROUNDUP(F13/G13, 0)</f>
        <v/>
      </c>
      <c r="I13" s="9">
        <f>H13*G13</f>
        <v/>
      </c>
      <c r="J13" s="9">
        <f>I13-F13</f>
        <v/>
      </c>
      <c r="K13" s="9">
        <f>F13*4.834</f>
        <v/>
      </c>
      <c r="L13" s="11">
        <f>(J13/I13)*100</f>
        <v/>
      </c>
    </row>
    <row r="14" ht="20" customHeight="1">
      <c r="A14" s="5" t="inlineStr">
        <is>
          <t>9</t>
        </is>
      </c>
      <c r="B14" s="6" t="inlineStr">
        <is>
          <t>Thép thường dầm Super-T L=38.2m (15 phiến dầm) - Thép sườn</t>
        </is>
      </c>
      <c r="C14" s="5" t="n">
        <v>16</v>
      </c>
      <c r="D14" s="7" t="n">
        <v>960</v>
      </c>
      <c r="E14" s="8" t="n">
        <v>7.85</v>
      </c>
      <c r="F14" s="9">
        <f>D14*E14</f>
        <v/>
      </c>
      <c r="G14" s="5" t="n">
        <v>11.7</v>
      </c>
      <c r="H14" s="10">
        <f>ROUNDUP(F14/G14, 0)</f>
        <v/>
      </c>
      <c r="I14" s="9">
        <f>H14*G14</f>
        <v/>
      </c>
      <c r="J14" s="9">
        <f>I14-F14</f>
        <v/>
      </c>
      <c r="K14" s="9">
        <f>F14*1.578</f>
        <v/>
      </c>
      <c r="L14" s="11">
        <f>(J14/I14)*100</f>
        <v/>
      </c>
    </row>
    <row r="15" ht="20" customHeight="1">
      <c r="A15" s="5" t="inlineStr">
        <is>
          <t>10</t>
        </is>
      </c>
      <c r="B15" s="6" t="inlineStr">
        <is>
          <t>Thép thường dầm Super-T L=38.2m - Thép bản cánh trên/dưới</t>
        </is>
      </c>
      <c r="C15" s="5" t="n">
        <v>14</v>
      </c>
      <c r="D15" s="7" t="n">
        <v>1200</v>
      </c>
      <c r="E15" s="8" t="n">
        <v>3.8</v>
      </c>
      <c r="F15" s="9">
        <f>D15*E15</f>
        <v/>
      </c>
      <c r="G15" s="5" t="n">
        <v>11.7</v>
      </c>
      <c r="H15" s="10">
        <f>ROUNDUP(F15/G15, 0)</f>
        <v/>
      </c>
      <c r="I15" s="9">
        <f>H15*G15</f>
        <v/>
      </c>
      <c r="J15" s="9">
        <f>I15-F15</f>
        <v/>
      </c>
      <c r="K15" s="9">
        <f>F15*1.208</f>
        <v/>
      </c>
      <c r="L15" s="11">
        <f>(J15/I15)*100</f>
        <v/>
      </c>
    </row>
    <row r="16" ht="20" customHeight="1">
      <c r="A16" s="5" t="inlineStr">
        <is>
          <t>11</t>
        </is>
      </c>
      <c r="B16" s="6" t="inlineStr">
        <is>
          <t>Thép dầm ngang mố, dầm ngang trụ và liên tục nhiệt</t>
        </is>
      </c>
      <c r="C16" s="5" t="n">
        <v>16</v>
      </c>
      <c r="D16" s="7" t="n">
        <v>450</v>
      </c>
      <c r="E16" s="8" t="n">
        <v>5.6</v>
      </c>
      <c r="F16" s="9">
        <f>D16*E16</f>
        <v/>
      </c>
      <c r="G16" s="5" t="n">
        <v>11.7</v>
      </c>
      <c r="H16" s="10">
        <f>ROUNDUP(F16/G16, 0)</f>
        <v/>
      </c>
      <c r="I16" s="9">
        <f>H16*G16</f>
        <v/>
      </c>
      <c r="J16" s="9">
        <f>I16-F16</f>
        <v/>
      </c>
      <c r="K16" s="9">
        <f>F16*1.578</f>
        <v/>
      </c>
      <c r="L16" s="11">
        <f>(J16/I16)*100</f>
        <v/>
      </c>
    </row>
    <row r="17" ht="20" customHeight="1">
      <c r="A17" s="5" t="inlineStr">
        <is>
          <t>12</t>
        </is>
      </c>
      <c r="B17" s="6" t="inlineStr">
        <is>
          <t>Thép bản mặt cầu chịu lực lưới dưới (D16 a=150)</t>
        </is>
      </c>
      <c r="C17" s="5" t="n">
        <v>16</v>
      </c>
      <c r="D17" s="7" t="n">
        <v>1450</v>
      </c>
      <c r="E17" s="8" t="n">
        <v>3.85</v>
      </c>
      <c r="F17" s="9">
        <f>D17*E17</f>
        <v/>
      </c>
      <c r="G17" s="5" t="n">
        <v>11.7</v>
      </c>
      <c r="H17" s="10">
        <f>ROUNDUP(F17/G17, 0)</f>
        <v/>
      </c>
      <c r="I17" s="9">
        <f>H17*G17</f>
        <v/>
      </c>
      <c r="J17" s="9">
        <f>I17-F17</f>
        <v/>
      </c>
      <c r="K17" s="9">
        <f>F17*1.578</f>
        <v/>
      </c>
      <c r="L17" s="11">
        <f>(J17/I17)*100</f>
        <v/>
      </c>
    </row>
    <row r="18" ht="20" customHeight="1">
      <c r="A18" s="5" t="inlineStr">
        <is>
          <t>13</t>
        </is>
      </c>
      <c r="B18" s="6" t="inlineStr">
        <is>
          <t>Thép bản mặt cầu chịu lực lưới trên (D14 a=150)</t>
        </is>
      </c>
      <c r="C18" s="5" t="n">
        <v>14</v>
      </c>
      <c r="D18" s="7" t="n">
        <v>1550</v>
      </c>
      <c r="E18" s="8" t="n">
        <v>3.85</v>
      </c>
      <c r="F18" s="9">
        <f>D18*E18</f>
        <v/>
      </c>
      <c r="G18" s="5" t="n">
        <v>11.7</v>
      </c>
      <c r="H18" s="10">
        <f>ROUNDUP(F18/G18, 0)</f>
        <v/>
      </c>
      <c r="I18" s="9">
        <f>H18*G18</f>
        <v/>
      </c>
      <c r="J18" s="9">
        <f>I18-F18</f>
        <v/>
      </c>
      <c r="K18" s="9">
        <f>F18*1.208</f>
        <v/>
      </c>
      <c r="L18" s="11">
        <f>(J18/I18)*100</f>
        <v/>
      </c>
    </row>
    <row r="19" ht="20" customHeight="1">
      <c r="A19" s="5" t="inlineStr">
        <is>
          <t>14</t>
        </is>
      </c>
      <c r="B19" s="6" t="inlineStr">
        <is>
          <t>Thép bản quá độ 2 đầu mố L=8.0m (D16)</t>
        </is>
      </c>
      <c r="C19" s="5" t="n">
        <v>16</v>
      </c>
      <c r="D19" s="7" t="n">
        <v>260</v>
      </c>
      <c r="E19" s="8" t="n">
        <v>7.85</v>
      </c>
      <c r="F19" s="9">
        <f>D19*E19</f>
        <v/>
      </c>
      <c r="G19" s="5" t="n">
        <v>11.7</v>
      </c>
      <c r="H19" s="10">
        <f>ROUNDUP(F19/G19, 0)</f>
        <v/>
      </c>
      <c r="I19" s="9">
        <f>H19*G19</f>
        <v/>
      </c>
      <c r="J19" s="9">
        <f>I19-F19</f>
        <v/>
      </c>
      <c r="K19" s="9">
        <f>F19*1.578</f>
        <v/>
      </c>
      <c r="L19" s="11">
        <f>(J19/I19)*100</f>
        <v/>
      </c>
    </row>
    <row r="20" ht="24" customHeight="1">
      <c r="A20" s="12" t="inlineStr">
        <is>
          <t>TỔNG CỘNG VẬT TƯ THÉP TOÀN CẦU (KG)</t>
        </is>
      </c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14">
        <f>SUM(K6:K19)</f>
        <v/>
      </c>
      <c r="L20" s="15">
        <f>AVERAGE(L6:L19)</f>
        <v/>
      </c>
    </row>
  </sheetData>
  <mergeCells count="1">
    <mergeCell ref="A20:J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4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TÍNH KHỐI LƯỢNG ĐÀO ĐẮP TRẮC NGANG V = ((F1+F2)/2)*L - ĐƯỜNG CÔNG VỤ VÀ MÓNG MỐ TRỤ</t>
        </is>
      </c>
    </row>
    <row r="4">
      <c r="B4" s="3" t="inlineStr">
        <is>
          <t>Trích xuất từ Bản vẽ bình đồ, trắc dọc &amp; trắc ngang thi công (Trang 138-150 Hồ sơ TKBVTC)</t>
        </is>
      </c>
    </row>
    <row r="5" ht="28" customHeight="1">
      <c r="A5" s="4" t="inlineStr">
        <is>
          <t>STT</t>
        </is>
      </c>
      <c r="B5" s="4" t="inlineStr">
        <is>
          <t>Lý trình / Vị trí cọc</t>
        </is>
      </c>
      <c r="C5" s="4" t="inlineStr">
        <is>
          <t>Khoảng cách L (m)</t>
        </is>
      </c>
      <c r="D5" s="4" t="inlineStr">
        <is>
          <t>Diện tích Đào F1 (m2)</t>
        </is>
      </c>
      <c r="E5" s="4" t="inlineStr">
        <is>
          <t>Diện tích Đào F2 (m2)</t>
        </is>
      </c>
      <c r="F5" s="4" t="inlineStr">
        <is>
          <t>Thể tích Đào V_dao (m3)</t>
        </is>
      </c>
      <c r="G5" s="4" t="inlineStr">
        <is>
          <t>Diện tích Đắp F1 (m2)</t>
        </is>
      </c>
      <c r="H5" s="4" t="inlineStr">
        <is>
          <t>Diện tích Đắp F2 (m2)</t>
        </is>
      </c>
      <c r="I5" s="4" t="inlineStr">
        <is>
          <t>Thể tích Đắp V_dap (m3)</t>
        </is>
      </c>
      <c r="J5" s="4" t="inlineStr">
        <is>
          <t>Ghi chú</t>
        </is>
      </c>
    </row>
    <row r="6" ht="24" customHeight="1">
      <c r="A6" s="16" t="inlineStr">
        <is>
          <t>I. ĐƯỜNG CÔNG VỤ NHÁNH 6 (TIẾP CẬN CẦU KM19+529.080)</t>
        </is>
      </c>
    </row>
    <row r="7" ht="20" customHeight="1">
      <c r="A7" s="5" t="inlineStr">
        <is>
          <t>1</t>
        </is>
      </c>
      <c r="B7" s="6" t="inlineStr">
        <is>
          <t>Km 0+00.00 đến Km 0+10.00</t>
        </is>
      </c>
      <c r="C7" s="8" t="n">
        <v>10</v>
      </c>
      <c r="D7" s="8" t="n">
        <v>51.47</v>
      </c>
      <c r="E7" s="8" t="n">
        <v>33.55</v>
      </c>
      <c r="F7" s="9">
        <f>((D7+E7)/2)*C7</f>
        <v/>
      </c>
      <c r="G7" s="8" t="n">
        <v>0</v>
      </c>
      <c r="H7" s="8" t="n">
        <v>0</v>
      </c>
      <c r="I7" s="9">
        <f>((G7+H7)/2)*C7</f>
        <v/>
      </c>
      <c r="J7" s="5" t="inlineStr">
        <is>
          <t>Chuẩn hình học</t>
        </is>
      </c>
    </row>
    <row r="8" ht="20" customHeight="1">
      <c r="A8" s="5" t="inlineStr">
        <is>
          <t>2</t>
        </is>
      </c>
      <c r="B8" s="6" t="inlineStr">
        <is>
          <t>Km 0+10.00 đến cọc TD1 (Km 0+18.12)</t>
        </is>
      </c>
      <c r="C8" s="8" t="n">
        <v>8.119999999999999</v>
      </c>
      <c r="D8" s="8" t="n">
        <v>33.55</v>
      </c>
      <c r="E8" s="8" t="n">
        <v>10.5</v>
      </c>
      <c r="F8" s="9">
        <f>((D8+E8)/2)*C8</f>
        <v/>
      </c>
      <c r="G8" s="8" t="n">
        <v>0</v>
      </c>
      <c r="H8" s="8" t="n">
        <v>0</v>
      </c>
      <c r="I8" s="9">
        <f>((G8+H8)/2)*C8</f>
        <v/>
      </c>
      <c r="J8" s="5" t="inlineStr">
        <is>
          <t>Chuẩn hình học</t>
        </is>
      </c>
    </row>
    <row r="9" ht="20" customHeight="1">
      <c r="A9" s="5" t="inlineStr">
        <is>
          <t>3</t>
        </is>
      </c>
      <c r="B9" s="6" t="inlineStr">
        <is>
          <t>Cọc TD1 đến cọc 2 (Km 0+20.00)</t>
        </is>
      </c>
      <c r="C9" s="8" t="n">
        <v>1.88</v>
      </c>
      <c r="D9" s="8" t="n">
        <v>10.5</v>
      </c>
      <c r="E9" s="8" t="n">
        <v>9.18</v>
      </c>
      <c r="F9" s="9">
        <f>((D9+E9)/2)*C9</f>
        <v/>
      </c>
      <c r="G9" s="8" t="n">
        <v>0</v>
      </c>
      <c r="H9" s="8" t="n">
        <v>0</v>
      </c>
      <c r="I9" s="9">
        <f>((G9+H9)/2)*C9</f>
        <v/>
      </c>
      <c r="J9" s="5" t="inlineStr">
        <is>
          <t>Chuẩn hình học</t>
        </is>
      </c>
    </row>
    <row r="10" ht="20" customHeight="1">
      <c r="A10" s="5" t="inlineStr">
        <is>
          <t>4</t>
        </is>
      </c>
      <c r="B10" s="6" t="inlineStr">
        <is>
          <t>Cọc 2 đến cọc P1 (Km 0+21.65)</t>
        </is>
      </c>
      <c r="C10" s="8" t="n">
        <v>1.65</v>
      </c>
      <c r="D10" s="8" t="n">
        <v>9.18</v>
      </c>
      <c r="E10" s="8" t="n">
        <v>9.02</v>
      </c>
      <c r="F10" s="9">
        <f>((D10+E10)/2)*C10</f>
        <v/>
      </c>
      <c r="G10" s="8" t="n">
        <v>0</v>
      </c>
      <c r="H10" s="8" t="n">
        <v>0.22</v>
      </c>
      <c r="I10" s="9">
        <f>((G10+H10)/2)*C10</f>
        <v/>
      </c>
      <c r="J10" s="5" t="inlineStr">
        <is>
          <t>Chuẩn hình học</t>
        </is>
      </c>
    </row>
    <row r="11" ht="20" customHeight="1">
      <c r="A11" s="5" t="inlineStr">
        <is>
          <t>5</t>
        </is>
      </c>
      <c r="B11" s="6" t="inlineStr">
        <is>
          <t>Cọc P1 đến cọc TC1 (Km 0+25.17)</t>
        </is>
      </c>
      <c r="C11" s="8" t="n">
        <v>3.52</v>
      </c>
      <c r="D11" s="8" t="n">
        <v>9.02</v>
      </c>
      <c r="E11" s="8" t="n">
        <v>11.58</v>
      </c>
      <c r="F11" s="9">
        <f>((D11+E11)/2)*C11</f>
        <v/>
      </c>
      <c r="G11" s="8" t="n">
        <v>0.22</v>
      </c>
      <c r="H11" s="8" t="n">
        <v>3.2</v>
      </c>
      <c r="I11" s="9">
        <f>((G11+H11)/2)*C11</f>
        <v/>
      </c>
      <c r="J11" s="5" t="inlineStr">
        <is>
          <t>Chuẩn hình học</t>
        </is>
      </c>
    </row>
    <row r="12" ht="20" customHeight="1">
      <c r="A12" s="5" t="inlineStr">
        <is>
          <t>6</t>
        </is>
      </c>
      <c r="B12" s="6" t="inlineStr">
        <is>
          <t>Cọc TC1 đến cọc 3 (Km 0+30.00)</t>
        </is>
      </c>
      <c r="C12" s="8" t="n">
        <v>4.83</v>
      </c>
      <c r="D12" s="8" t="n">
        <v>11.58</v>
      </c>
      <c r="E12" s="8" t="n">
        <v>20.34</v>
      </c>
      <c r="F12" s="9">
        <f>((D12+E12)/2)*C12</f>
        <v/>
      </c>
      <c r="G12" s="8" t="n">
        <v>3.2</v>
      </c>
      <c r="H12" s="8" t="n">
        <v>0</v>
      </c>
      <c r="I12" s="9">
        <f>((G12+H12)/2)*C12</f>
        <v/>
      </c>
      <c r="J12" s="5" t="inlineStr">
        <is>
          <t>Chuẩn hình học</t>
        </is>
      </c>
    </row>
    <row r="13" ht="20" customHeight="1">
      <c r="A13" s="5" t="inlineStr">
        <is>
          <t>7</t>
        </is>
      </c>
      <c r="B13" s="6" t="inlineStr">
        <is>
          <t>Cọc 3 đến cọc 4 (Km 0+40.00)</t>
        </is>
      </c>
      <c r="C13" s="8" t="n">
        <v>10</v>
      </c>
      <c r="D13" s="8" t="n">
        <v>20.34</v>
      </c>
      <c r="E13" s="8" t="n">
        <v>51.82</v>
      </c>
      <c r="F13" s="9">
        <f>((D13+E13)/2)*C13</f>
        <v/>
      </c>
      <c r="G13" s="8" t="n">
        <v>0</v>
      </c>
      <c r="H13" s="8" t="n">
        <v>0</v>
      </c>
      <c r="I13" s="9">
        <f>((G13+H13)/2)*C13</f>
        <v/>
      </c>
      <c r="J13" s="5" t="inlineStr">
        <is>
          <t>Chuẩn hình học</t>
        </is>
      </c>
    </row>
    <row r="14" ht="20" customHeight="1">
      <c r="A14" s="5" t="inlineStr">
        <is>
          <t>8</t>
        </is>
      </c>
      <c r="B14" s="6" t="inlineStr">
        <is>
          <t>Km 0+40.00 đến Km 0+80.00 (Nhánh tiếp cận trụ T1)</t>
        </is>
      </c>
      <c r="C14" s="8" t="n">
        <v>40</v>
      </c>
      <c r="D14" s="8" t="n">
        <v>51.82</v>
      </c>
      <c r="E14" s="8" t="n">
        <v>28.4</v>
      </c>
      <c r="F14" s="9">
        <f>((D14+E14)/2)*C14</f>
        <v/>
      </c>
      <c r="G14" s="8" t="n">
        <v>0</v>
      </c>
      <c r="H14" s="8" t="n">
        <v>0</v>
      </c>
      <c r="I14" s="9">
        <f>((G14+H14)/2)*C14</f>
        <v/>
      </c>
      <c r="J14" s="5" t="inlineStr">
        <is>
          <t>Chuẩn hình học</t>
        </is>
      </c>
    </row>
    <row r="15" ht="20" customHeight="1">
      <c r="A15" s="5" t="inlineStr">
        <is>
          <t>9</t>
        </is>
      </c>
      <c r="B15" s="6" t="inlineStr">
        <is>
          <t>Km 0+80.00 đến Km 0+120.00 (Nhánh tiếp cận trụ T2)</t>
        </is>
      </c>
      <c r="C15" s="8" t="n">
        <v>40</v>
      </c>
      <c r="D15" s="8" t="n">
        <v>28.4</v>
      </c>
      <c r="E15" s="8" t="n">
        <v>16.5</v>
      </c>
      <c r="F15" s="9">
        <f>((D15+E15)/2)*C15</f>
        <v/>
      </c>
      <c r="G15" s="8" t="n">
        <v>0</v>
      </c>
      <c r="H15" s="8" t="n">
        <v>0.5</v>
      </c>
      <c r="I15" s="9">
        <f>((G15+H15)/2)*C15</f>
        <v/>
      </c>
      <c r="J15" s="5" t="inlineStr">
        <is>
          <t>Chuẩn hình học</t>
        </is>
      </c>
    </row>
    <row r="16" ht="24" customHeight="1">
      <c r="A16" s="16" t="inlineStr">
        <is>
          <t>II. HỐ MÓNG BỆ MỐ M1, M2 VÀ BỆ TRỤ T1, T2</t>
        </is>
      </c>
    </row>
    <row r="17" ht="20" customHeight="1">
      <c r="A17" s="5" t="inlineStr">
        <is>
          <t>10</t>
        </is>
      </c>
      <c r="B17" s="6" t="inlineStr">
        <is>
          <t>Đào đất đá hố móng bệ mố M1 chân dê (Km19+463.88)</t>
        </is>
      </c>
      <c r="C17" s="8" t="n">
        <v>12</v>
      </c>
      <c r="D17" s="8" t="n">
        <v>36.5</v>
      </c>
      <c r="E17" s="8" t="n">
        <v>36.5</v>
      </c>
      <c r="F17" s="9">
        <f>((D17+E17)/2)*C17</f>
        <v/>
      </c>
      <c r="G17" s="8" t="n">
        <v>0</v>
      </c>
      <c r="H17" s="8" t="n">
        <v>0</v>
      </c>
      <c r="I17" s="9">
        <f>((G17+H17)/2)*C17</f>
        <v/>
      </c>
      <c r="J17" s="5" t="inlineStr">
        <is>
          <t>Chuẩn hình học</t>
        </is>
      </c>
    </row>
    <row r="18" ht="20" customHeight="1">
      <c r="A18" s="5" t="inlineStr">
        <is>
          <t>11</t>
        </is>
      </c>
      <c r="B18" s="6" t="inlineStr">
        <is>
          <t>Đào đất đá hố móng bệ mố M2 chữ U (Km19+594.28)</t>
        </is>
      </c>
      <c r="C18" s="8" t="n">
        <v>14</v>
      </c>
      <c r="D18" s="8" t="n">
        <v>42</v>
      </c>
      <c r="E18" s="8" t="n">
        <v>42</v>
      </c>
      <c r="F18" s="9">
        <f>((D18+E18)/2)*C18</f>
        <v/>
      </c>
      <c r="G18" s="8" t="n">
        <v>0</v>
      </c>
      <c r="H18" s="8" t="n">
        <v>0</v>
      </c>
      <c r="I18" s="9">
        <f>((G18+H18)/2)*C18</f>
        <v/>
      </c>
      <c r="J18" s="5" t="inlineStr">
        <is>
          <t>Chuẩn hình học</t>
        </is>
      </c>
    </row>
    <row r="19" ht="20" customHeight="1">
      <c r="A19" s="5" t="inlineStr">
        <is>
          <t>12</t>
        </is>
      </c>
      <c r="B19" s="6" t="inlineStr">
        <is>
          <t>Đào đất đá hố móng bệ trụ T1 (Km19+502.98)</t>
        </is>
      </c>
      <c r="C19" s="8" t="n">
        <v>15</v>
      </c>
      <c r="D19" s="8" t="n">
        <v>55</v>
      </c>
      <c r="E19" s="8" t="n">
        <v>55</v>
      </c>
      <c r="F19" s="9">
        <f>((D19+E19)/2)*C19</f>
        <v/>
      </c>
      <c r="G19" s="8" t="n">
        <v>0</v>
      </c>
      <c r="H19" s="8" t="n">
        <v>0</v>
      </c>
      <c r="I19" s="9">
        <f>((G19+H19)/2)*C19</f>
        <v/>
      </c>
      <c r="J19" s="5" t="inlineStr">
        <is>
          <t>Chuẩn hình học</t>
        </is>
      </c>
    </row>
    <row r="20" ht="20" customHeight="1">
      <c r="A20" s="5" t="inlineStr">
        <is>
          <t>13</t>
        </is>
      </c>
      <c r="B20" s="6" t="inlineStr">
        <is>
          <t>Đào đất đá hố móng bệ trụ T2 (Km19+542.98)</t>
        </is>
      </c>
      <c r="C20" s="8" t="n">
        <v>15</v>
      </c>
      <c r="D20" s="8" t="n">
        <v>52</v>
      </c>
      <c r="E20" s="8" t="n">
        <v>52</v>
      </c>
      <c r="F20" s="9">
        <f>((D20+E20)/2)*C20</f>
        <v/>
      </c>
      <c r="G20" s="8" t="n">
        <v>0</v>
      </c>
      <c r="H20" s="8" t="n">
        <v>0</v>
      </c>
      <c r="I20" s="9">
        <f>((G20+H20)/2)*C20</f>
        <v/>
      </c>
      <c r="J20" s="5" t="inlineStr">
        <is>
          <t>Chuẩn hình học</t>
        </is>
      </c>
    </row>
    <row r="21" ht="24" customHeight="1">
      <c r="A21" s="12" t="inlineStr">
        <is>
          <t>TỔNG CỘNG KHỐI LƯỢNG ĐÀO ĐẮP (M3)</t>
        </is>
      </c>
      <c r="B21" s="47" t="n"/>
      <c r="C21" s="47" t="n"/>
      <c r="D21" s="47" t="n"/>
      <c r="E21" s="48" t="n"/>
      <c r="F21" s="14">
        <f>F7+F8+F9+F10+F11+F12+F13+F14+F15+F17+F18+F19+F20</f>
        <v/>
      </c>
      <c r="G21" s="13" t="n"/>
      <c r="H21" s="13" t="n"/>
      <c r="I21" s="14">
        <f>I7+I8+I9+I10+I11+I12+I13+I14+I15+I17+I18+I19+I20</f>
        <v/>
      </c>
      <c r="J21" s="13" t="n"/>
    </row>
  </sheetData>
  <mergeCells count="3">
    <mergeCell ref="A6:J6"/>
    <mergeCell ref="A21:E21"/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</row>
    <row r="6" ht="24" customHeight="1">
      <c r="A6" s="16" t="inlineStr">
        <is>
          <t>PHẦN I: THI CÔNG CỌC KHOAN NHỒI D1200MM &amp; THÍ NGHIỆM KIỂM SOÁT</t>
        </is>
      </c>
    </row>
    <row r="7" ht="22" customHeight="1">
      <c r="A7" s="17" t="inlineStr">
        <is>
          <t>1</t>
        </is>
      </c>
      <c r="B7" s="17" t="inlineStr">
        <is>
          <t>AC.11111</t>
        </is>
      </c>
      <c r="C7" s="18" t="inlineStr">
        <is>
          <t>Khoan tạo lỗ cọc khoan nhồi D1200mm vào đất và đá gốc (26 cọc)</t>
        </is>
      </c>
      <c r="D7" s="17" t="inlineStr">
        <is>
          <t>m</t>
        </is>
      </c>
      <c r="E7" s="19" t="n"/>
      <c r="F7" s="19" t="n"/>
      <c r="G7" s="19" t="n"/>
      <c r="H7" s="19" t="n"/>
      <c r="I7" s="19" t="n"/>
      <c r="J7" s="20">
        <f>SUM(J8:J11)</f>
        <v/>
      </c>
      <c r="K7" s="21" t="n">
        <v>2850000</v>
      </c>
      <c r="L7" s="22">
        <f>J7*K7</f>
        <v/>
      </c>
    </row>
    <row r="8" ht="19" customHeight="1">
      <c r="A8" s="23" t="n"/>
      <c r="B8" s="23" t="n"/>
      <c r="C8" s="24" t="inlineStr">
        <is>
          <t>- Cọc mố M1: 3 cọc chiều sâu L=20.0m</t>
        </is>
      </c>
      <c r="D8" s="25" t="inlineStr">
        <is>
          <t>m</t>
        </is>
      </c>
      <c r="E8" s="26" t="n">
        <v>3</v>
      </c>
      <c r="F8" s="26" t="n">
        <v>20</v>
      </c>
      <c r="G8" s="26" t="n">
        <v>1</v>
      </c>
      <c r="H8" s="26" t="n">
        <v>1</v>
      </c>
      <c r="I8" s="27" t="n">
        <v>1</v>
      </c>
      <c r="J8" s="28">
        <f>E8*F8*G8*H8*I8</f>
        <v/>
      </c>
      <c r="K8" s="23" t="n"/>
      <c r="L8" s="23" t="n"/>
    </row>
    <row r="9" ht="19" customHeight="1">
      <c r="A9" s="23" t="n"/>
      <c r="B9" s="23" t="n"/>
      <c r="C9" s="24" t="inlineStr">
        <is>
          <t>- Cọc trụ T1: 8 cọc chiều sâu L=40.0m</t>
        </is>
      </c>
      <c r="D9" s="25" t="inlineStr">
        <is>
          <t>m</t>
        </is>
      </c>
      <c r="E9" s="26" t="n">
        <v>8</v>
      </c>
      <c r="F9" s="26" t="n">
        <v>40</v>
      </c>
      <c r="G9" s="26" t="n">
        <v>1</v>
      </c>
      <c r="H9" s="26" t="n">
        <v>1</v>
      </c>
      <c r="I9" s="27" t="n">
        <v>1</v>
      </c>
      <c r="J9" s="28">
        <f>E9*F9*G9*H9*I9</f>
        <v/>
      </c>
      <c r="K9" s="23" t="n"/>
      <c r="L9" s="23" t="n"/>
    </row>
    <row r="10" ht="19" customHeight="1">
      <c r="A10" s="23" t="n"/>
      <c r="B10" s="23" t="n"/>
      <c r="C10" s="24" t="inlineStr">
        <is>
          <t>- Cọc trụ T2: 8 cọc chiều sâu L=30.0m</t>
        </is>
      </c>
      <c r="D10" s="25" t="inlineStr">
        <is>
          <t>m</t>
        </is>
      </c>
      <c r="E10" s="26" t="n">
        <v>8</v>
      </c>
      <c r="F10" s="26" t="n">
        <v>30</v>
      </c>
      <c r="G10" s="26" t="n">
        <v>1</v>
      </c>
      <c r="H10" s="26" t="n">
        <v>1</v>
      </c>
      <c r="I10" s="27" t="n">
        <v>1</v>
      </c>
      <c r="J10" s="28">
        <f>E10*F10*G10*H10*I10</f>
        <v/>
      </c>
      <c r="K10" s="23" t="n"/>
      <c r="L10" s="23" t="n"/>
    </row>
    <row r="11" ht="19" customHeight="1">
      <c r="A11" s="23" t="n"/>
      <c r="B11" s="23" t="n"/>
      <c r="C11" s="24" t="inlineStr">
        <is>
          <t>- Cọc mố M2: 7 cọc chiều sâu L=36.0m</t>
        </is>
      </c>
      <c r="D11" s="25" t="inlineStr">
        <is>
          <t>m</t>
        </is>
      </c>
      <c r="E11" s="26" t="n">
        <v>7</v>
      </c>
      <c r="F11" s="26" t="n">
        <v>36</v>
      </c>
      <c r="G11" s="26" t="n">
        <v>1</v>
      </c>
      <c r="H11" s="26" t="n">
        <v>1</v>
      </c>
      <c r="I11" s="27" t="n">
        <v>1</v>
      </c>
      <c r="J11" s="28">
        <f>E11*F11*G11*H11*I11</f>
        <v/>
      </c>
      <c r="K11" s="23" t="n"/>
      <c r="L11" s="23" t="n"/>
    </row>
    <row r="12" ht="22" customHeight="1">
      <c r="A12" s="17" t="inlineStr">
        <is>
          <t>2</t>
        </is>
      </c>
      <c r="B12" s="17" t="inlineStr">
        <is>
          <t>AC.12111</t>
        </is>
      </c>
      <c r="C12" s="18" t="inlineStr">
        <is>
          <t>Hạ và nhổ ống vách thép dẫn hướng D1300mm d=8mm (luân chuyển)</t>
        </is>
      </c>
      <c r="D12" s="17" t="inlineStr">
        <is>
          <t>m</t>
        </is>
      </c>
      <c r="E12" s="19" t="n"/>
      <c r="F12" s="19" t="n"/>
      <c r="G12" s="19" t="n"/>
      <c r="H12" s="19" t="n"/>
      <c r="I12" s="19" t="n"/>
      <c r="J12" s="20">
        <f>SUM(J13:J16)</f>
        <v/>
      </c>
      <c r="K12" s="21" t="n">
        <v>1450000</v>
      </c>
      <c r="L12" s="22">
        <f>J12*K12</f>
        <v/>
      </c>
    </row>
    <row r="13" ht="19" customHeight="1">
      <c r="A13" s="23" t="n"/>
      <c r="B13" s="23" t="n"/>
      <c r="C13" s="24" t="inlineStr">
        <is>
          <t>- Ống vách thép cọc mố M1 (3 cọc x 6m)</t>
        </is>
      </c>
      <c r="D13" s="25" t="inlineStr">
        <is>
          <t>m</t>
        </is>
      </c>
      <c r="E13" s="26" t="n">
        <v>3</v>
      </c>
      <c r="F13" s="26" t="n">
        <v>6</v>
      </c>
      <c r="G13" s="26" t="n">
        <v>1</v>
      </c>
      <c r="H13" s="26" t="n">
        <v>1</v>
      </c>
      <c r="I13" s="27" t="n">
        <v>1</v>
      </c>
      <c r="J13" s="28">
        <f>E13*F13*G13*H13*I13</f>
        <v/>
      </c>
      <c r="K13" s="23" t="n"/>
      <c r="L13" s="23" t="n"/>
    </row>
    <row r="14" ht="19" customHeight="1">
      <c r="A14" s="23" t="n"/>
      <c r="B14" s="23" t="n"/>
      <c r="C14" s="24" t="inlineStr">
        <is>
          <t>- Ống vách thép cọc trụ T1 (8 cọc x 6m)</t>
        </is>
      </c>
      <c r="D14" s="25" t="inlineStr">
        <is>
          <t>m</t>
        </is>
      </c>
      <c r="E14" s="26" t="n">
        <v>8</v>
      </c>
      <c r="F14" s="26" t="n">
        <v>6</v>
      </c>
      <c r="G14" s="26" t="n">
        <v>1</v>
      </c>
      <c r="H14" s="26" t="n">
        <v>1</v>
      </c>
      <c r="I14" s="27" t="n">
        <v>1</v>
      </c>
      <c r="J14" s="28">
        <f>E14*F14*G14*H14*I14</f>
        <v/>
      </c>
      <c r="K14" s="23" t="n"/>
      <c r="L14" s="23" t="n"/>
    </row>
    <row r="15" ht="19" customHeight="1">
      <c r="A15" s="23" t="n"/>
      <c r="B15" s="23" t="n"/>
      <c r="C15" s="24" t="inlineStr">
        <is>
          <t>- Ống vách thép cọc trụ T2 (8 cọc x 6m)</t>
        </is>
      </c>
      <c r="D15" s="25" t="inlineStr">
        <is>
          <t>m</t>
        </is>
      </c>
      <c r="E15" s="26" t="n">
        <v>8</v>
      </c>
      <c r="F15" s="26" t="n">
        <v>6</v>
      </c>
      <c r="G15" s="26" t="n">
        <v>1</v>
      </c>
      <c r="H15" s="26" t="n">
        <v>1</v>
      </c>
      <c r="I15" s="27" t="n">
        <v>1</v>
      </c>
      <c r="J15" s="28">
        <f>E15*F15*G15*H15*I15</f>
        <v/>
      </c>
      <c r="K15" s="23" t="n"/>
      <c r="L15" s="23" t="n"/>
    </row>
    <row r="16" ht="19" customHeight="1">
      <c r="A16" s="23" t="n"/>
      <c r="B16" s="23" t="n"/>
      <c r="C16" s="24" t="inlineStr">
        <is>
          <t>- Ống vách thép cọc mố M2 (7 cọc x 6m)</t>
        </is>
      </c>
      <c r="D16" s="25" t="inlineStr">
        <is>
          <t>m</t>
        </is>
      </c>
      <c r="E16" s="26" t="n">
        <v>7</v>
      </c>
      <c r="F16" s="26" t="n">
        <v>6</v>
      </c>
      <c r="G16" s="26" t="n">
        <v>1</v>
      </c>
      <c r="H16" s="26" t="n">
        <v>1</v>
      </c>
      <c r="I16" s="27" t="n">
        <v>1</v>
      </c>
      <c r="J16" s="28">
        <f>E16*F16*G16*H16*I16</f>
        <v/>
      </c>
      <c r="K16" s="23" t="n"/>
      <c r="L16" s="23" t="n"/>
    </row>
    <row r="17" ht="22" customHeight="1">
      <c r="A17" s="17" t="inlineStr">
        <is>
          <t>3</t>
        </is>
      </c>
      <c r="B17" s="17" t="inlineStr">
        <is>
          <t>AF.21111</t>
        </is>
      </c>
      <c r="C17" s="18" t="inlineStr">
        <is>
          <t>Bê tông cọc khoan nhồi C30/37 đổ bằng phương pháp rút ống tremie</t>
        </is>
      </c>
      <c r="D17" s="17" t="inlineStr">
        <is>
          <t>m3</t>
        </is>
      </c>
      <c r="E17" s="19" t="n"/>
      <c r="F17" s="19" t="n"/>
      <c r="G17" s="19" t="n"/>
      <c r="H17" s="19" t="n"/>
      <c r="I17" s="19" t="n"/>
      <c r="J17" s="20">
        <f>SUM(J18:J21)</f>
        <v/>
      </c>
      <c r="K17" s="21" t="n">
        <v>1650000</v>
      </c>
      <c r="L17" s="22">
        <f>J17*K17</f>
        <v/>
      </c>
    </row>
    <row r="18" ht="19" customHeight="1">
      <c r="A18" s="23" t="n"/>
      <c r="B18" s="23" t="n"/>
      <c r="C18" s="24" t="inlineStr">
        <is>
          <t>- Bê tông 3 cọc mố M1 (L=20m, D=1.2m, hs nở thành 1.12)</t>
        </is>
      </c>
      <c r="D18" s="25" t="inlineStr">
        <is>
          <t>m3</t>
        </is>
      </c>
      <c r="E18" s="26" t="n">
        <v>3</v>
      </c>
      <c r="F18" s="26" t="n">
        <v>20</v>
      </c>
      <c r="G18" s="26" t="n">
        <v>0.6</v>
      </c>
      <c r="H18" s="26" t="n">
        <v>0.6</v>
      </c>
      <c r="I18" s="27" t="n">
        <v>3.5186</v>
      </c>
      <c r="J18" s="28">
        <f>E18*F18*G18*H18*I18</f>
        <v/>
      </c>
      <c r="K18" s="23" t="n"/>
      <c r="L18" s="23" t="n"/>
    </row>
    <row r="19" ht="19" customHeight="1">
      <c r="A19" s="23" t="n"/>
      <c r="B19" s="23" t="n"/>
      <c r="C19" s="24" t="inlineStr">
        <is>
          <t>- Bê tông 8 cọc trụ T1 (L=40m, D=1.2m, hs nở thành 1.12)</t>
        </is>
      </c>
      <c r="D19" s="25" t="inlineStr">
        <is>
          <t>m3</t>
        </is>
      </c>
      <c r="E19" s="26" t="n">
        <v>8</v>
      </c>
      <c r="F19" s="26" t="n">
        <v>40</v>
      </c>
      <c r="G19" s="26" t="n">
        <v>0.6</v>
      </c>
      <c r="H19" s="26" t="n">
        <v>0.6</v>
      </c>
      <c r="I19" s="27" t="n">
        <v>3.5186</v>
      </c>
      <c r="J19" s="28">
        <f>E19*F19*G19*H19*I19</f>
        <v/>
      </c>
      <c r="K19" s="23" t="n"/>
      <c r="L19" s="23" t="n"/>
    </row>
    <row r="20" ht="19" customHeight="1">
      <c r="A20" s="23" t="n"/>
      <c r="B20" s="23" t="n"/>
      <c r="C20" s="24" t="inlineStr">
        <is>
          <t>- Bê tông 8 cọc trụ T2 (L=30m, D=1.2m, hs nở thành 1.12)</t>
        </is>
      </c>
      <c r="D20" s="25" t="inlineStr">
        <is>
          <t>m3</t>
        </is>
      </c>
      <c r="E20" s="26" t="n">
        <v>8</v>
      </c>
      <c r="F20" s="26" t="n">
        <v>30</v>
      </c>
      <c r="G20" s="26" t="n">
        <v>0.6</v>
      </c>
      <c r="H20" s="26" t="n">
        <v>0.6</v>
      </c>
      <c r="I20" s="27" t="n">
        <v>3.5186</v>
      </c>
      <c r="J20" s="28">
        <f>E20*F20*G20*H20*I20</f>
        <v/>
      </c>
      <c r="K20" s="23" t="n"/>
      <c r="L20" s="23" t="n"/>
    </row>
    <row r="21" ht="19" customHeight="1">
      <c r="A21" s="23" t="n"/>
      <c r="B21" s="23" t="n"/>
      <c r="C21" s="24" t="inlineStr">
        <is>
          <t>- Bê tông 7 cọc mố M2 (L=36m, D=1.2m, hs nở thành 1.12)</t>
        </is>
      </c>
      <c r="D21" s="25" t="inlineStr">
        <is>
          <t>m3</t>
        </is>
      </c>
      <c r="E21" s="26" t="n">
        <v>7</v>
      </c>
      <c r="F21" s="26" t="n">
        <v>36</v>
      </c>
      <c r="G21" s="26" t="n">
        <v>0.6</v>
      </c>
      <c r="H21" s="26" t="n">
        <v>0.6</v>
      </c>
      <c r="I21" s="27" t="n">
        <v>3.5186</v>
      </c>
      <c r="J21" s="28">
        <f>E21*F21*G21*H21*I21</f>
        <v/>
      </c>
      <c r="K21" s="23" t="n"/>
      <c r="L21" s="23" t="n"/>
    </row>
    <row r="22" ht="22" customHeight="1">
      <c r="A22" s="17" t="inlineStr">
        <is>
          <t>4</t>
        </is>
      </c>
      <c r="B22" s="17" t="inlineStr">
        <is>
          <t>AF.61111</t>
        </is>
      </c>
      <c r="C22" s="18" t="inlineStr">
        <is>
          <t>Cốt thép cọc khoan nhồi D1200mm (Thép chủ D25, đai D16, D10)</t>
        </is>
      </c>
      <c r="D22" s="17" t="inlineStr">
        <is>
          <t>Tấn</t>
        </is>
      </c>
      <c r="E22" s="19" t="n"/>
      <c r="F22" s="19" t="n"/>
      <c r="G22" s="19" t="n"/>
      <c r="H22" s="19" t="n"/>
      <c r="I22" s="19" t="n"/>
      <c r="J22" s="20">
        <f>SUM(J23:J26)</f>
        <v/>
      </c>
      <c r="K22" s="21" t="n">
        <v>18500000</v>
      </c>
      <c r="L22" s="22">
        <f>J22*K22</f>
        <v/>
      </c>
    </row>
    <row r="23" ht="19" customHeight="1">
      <c r="A23" s="23" t="n"/>
      <c r="B23" s="23" t="n"/>
      <c r="C23" s="24" t="inlineStr">
        <is>
          <t>- Cốt thép cọc mố M1 (3 cọc x 5.889 tấn/cọc)</t>
        </is>
      </c>
      <c r="D23" s="25" t="inlineStr">
        <is>
          <t>Tấn</t>
        </is>
      </c>
      <c r="E23" s="26" t="n">
        <v>3</v>
      </c>
      <c r="F23" s="26" t="n">
        <v>5.889</v>
      </c>
      <c r="G23" s="26" t="n">
        <v>1</v>
      </c>
      <c r="H23" s="26" t="n">
        <v>1</v>
      </c>
      <c r="I23" s="27" t="n">
        <v>1</v>
      </c>
      <c r="J23" s="28">
        <f>E23*F23*G23*H23*I23</f>
        <v/>
      </c>
      <c r="K23" s="23" t="n"/>
      <c r="L23" s="23" t="n"/>
    </row>
    <row r="24" ht="19" customHeight="1">
      <c r="A24" s="23" t="n"/>
      <c r="B24" s="23" t="n"/>
      <c r="C24" s="24" t="inlineStr">
        <is>
          <t>- Cốt thép cọc trụ T1 (8 cọc x 4.845 tấn/cọc)</t>
        </is>
      </c>
      <c r="D24" s="25" t="inlineStr">
        <is>
          <t>Tấn</t>
        </is>
      </c>
      <c r="E24" s="26" t="n">
        <v>8</v>
      </c>
      <c r="F24" s="26" t="n">
        <v>4.845</v>
      </c>
      <c r="G24" s="26" t="n">
        <v>1</v>
      </c>
      <c r="H24" s="26" t="n">
        <v>1</v>
      </c>
      <c r="I24" s="27" t="n">
        <v>1</v>
      </c>
      <c r="J24" s="28">
        <f>E24*F24*G24*H24*I24</f>
        <v/>
      </c>
      <c r="K24" s="23" t="n"/>
      <c r="L24" s="23" t="n"/>
    </row>
    <row r="25" ht="19" customHeight="1">
      <c r="A25" s="23" t="n"/>
      <c r="B25" s="23" t="n"/>
      <c r="C25" s="24" t="inlineStr">
        <is>
          <t>- Cốt thép cọc trụ T2 (8 cọc x 3.687 tấn/cọc)</t>
        </is>
      </c>
      <c r="D25" s="25" t="inlineStr">
        <is>
          <t>Tấn</t>
        </is>
      </c>
      <c r="E25" s="26" t="n">
        <v>8</v>
      </c>
      <c r="F25" s="26" t="n">
        <v>3.687</v>
      </c>
      <c r="G25" s="26" t="n">
        <v>1</v>
      </c>
      <c r="H25" s="26" t="n">
        <v>1</v>
      </c>
      <c r="I25" s="27" t="n">
        <v>1</v>
      </c>
      <c r="J25" s="28">
        <f>E25*F25*G25*H25*I25</f>
        <v/>
      </c>
      <c r="K25" s="23" t="n"/>
      <c r="L25" s="23" t="n"/>
    </row>
    <row r="26" ht="19" customHeight="1">
      <c r="A26" s="23" t="n"/>
      <c r="B26" s="23" t="n"/>
      <c r="C26" s="24" t="inlineStr">
        <is>
          <t>- Cốt thép cọc mố M2 (7 cọc x 4.721 tấn/cọc)</t>
        </is>
      </c>
      <c r="D26" s="25" t="inlineStr">
        <is>
          <t>Tấn</t>
        </is>
      </c>
      <c r="E26" s="26" t="n">
        <v>7</v>
      </c>
      <c r="F26" s="26" t="n">
        <v>4.721</v>
      </c>
      <c r="G26" s="26" t="n">
        <v>1</v>
      </c>
      <c r="H26" s="26" t="n">
        <v>1</v>
      </c>
      <c r="I26" s="27" t="n">
        <v>1</v>
      </c>
      <c r="J26" s="28">
        <f>E26*F26*G26*H26*I26</f>
        <v/>
      </c>
      <c r="K26" s="23" t="n"/>
      <c r="L26" s="23" t="n"/>
    </row>
    <row r="27" ht="22" customHeight="1">
      <c r="A27" s="17" t="inlineStr">
        <is>
          <t>5</t>
        </is>
      </c>
      <c r="B27" s="17" t="inlineStr">
        <is>
          <t>AC.13111</t>
        </is>
      </c>
      <c r="C27" s="18" t="inlineStr">
        <is>
          <t>Đập đầu cọc khoan nhồi nhô lên đáy bệ ngàm vào kết cấu</t>
        </is>
      </c>
      <c r="D27" s="17" t="inlineStr">
        <is>
          <t>m3</t>
        </is>
      </c>
      <c r="E27" s="19" t="n"/>
      <c r="F27" s="19" t="n"/>
      <c r="G27" s="19" t="n"/>
      <c r="H27" s="19" t="n"/>
      <c r="I27" s="19" t="n"/>
      <c r="J27" s="20">
        <f>SUM(J28:J28)</f>
        <v/>
      </c>
      <c r="K27" s="21" t="n">
        <v>550000</v>
      </c>
      <c r="L27" s="22">
        <f>J27*K27</f>
        <v/>
      </c>
    </row>
    <row r="28" ht="19" customHeight="1">
      <c r="A28" s="23" t="n"/>
      <c r="B28" s="23" t="n"/>
      <c r="C28" s="24" t="inlineStr">
        <is>
          <t>- Đập đầu 26 cọc khoan nhồi (chiều cao đập h=1.0m)</t>
        </is>
      </c>
      <c r="D28" s="25" t="inlineStr">
        <is>
          <t>m3</t>
        </is>
      </c>
      <c r="E28" s="26" t="n">
        <v>26</v>
      </c>
      <c r="F28" s="26" t="n">
        <v>1</v>
      </c>
      <c r="G28" s="26" t="n">
        <v>0.6</v>
      </c>
      <c r="H28" s="26" t="n">
        <v>0.6</v>
      </c>
      <c r="I28" s="27" t="n">
        <v>3.1416</v>
      </c>
      <c r="J28" s="28">
        <f>E28*F28*G28*H28*I28</f>
        <v/>
      </c>
      <c r="K28" s="23" t="n"/>
      <c r="L28" s="23" t="n"/>
    </row>
    <row r="29" ht="22" customHeight="1">
      <c r="A29" s="17" t="inlineStr">
        <is>
          <t>6</t>
        </is>
      </c>
      <c r="B29" s="17" t="inlineStr">
        <is>
          <t>TN.11111</t>
        </is>
      </c>
      <c r="C29" s="18" t="inlineStr">
        <is>
          <t>Thí nghiệm kiểm soát cọc (Siêu âm 156 mặt cắt, PDA 9434kN, lấy lõi 4 cọc)</t>
        </is>
      </c>
      <c r="D29" s="17" t="inlineStr">
        <is>
          <t>Gói</t>
        </is>
      </c>
      <c r="E29" s="19" t="n"/>
      <c r="F29" s="19" t="n"/>
      <c r="G29" s="19" t="n"/>
      <c r="H29" s="19" t="n"/>
      <c r="I29" s="19" t="n"/>
      <c r="J29" s="20">
        <f>SUM(J30:J30)</f>
        <v/>
      </c>
      <c r="K29" s="21" t="n">
        <v>450000000</v>
      </c>
      <c r="L29" s="22">
        <f>J29*K29</f>
        <v/>
      </c>
    </row>
    <row r="30" ht="19" customHeight="1">
      <c r="A30" s="23" t="n"/>
      <c r="B30" s="23" t="n"/>
      <c r="C30" s="24" t="inlineStr">
        <is>
          <t>- Gói thí nghiệm siêu âm 100% cọc, nén động PDA trụ T1 &amp; khoan lấy lõi</t>
        </is>
      </c>
      <c r="D30" s="25" t="inlineStr">
        <is>
          <t>Gói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 t="n">
        <v>1</v>
      </c>
      <c r="J30" s="28">
        <f>E30*F30*G30*H30*I30</f>
        <v/>
      </c>
      <c r="K30" s="23" t="n"/>
      <c r="L30" s="23" t="n"/>
    </row>
    <row r="31" ht="24" customHeight="1">
      <c r="A31" s="16" t="inlineStr">
        <is>
          <t>PHẦN II: KẾT CẤU PHẦN DƯỚI (BỆ, THÂN, XÀ MŨ MỐ M1, M2 &amp; TRỤ T1, T2)</t>
        </is>
      </c>
    </row>
    <row r="32" ht="22" customHeight="1">
      <c r="A32" s="17" t="inlineStr">
        <is>
          <t>7</t>
        </is>
      </c>
      <c r="B32" s="17" t="inlineStr">
        <is>
          <t>AB.11111</t>
        </is>
      </c>
      <c r="C32" s="18" t="inlineStr">
        <is>
          <t>Đào đất đá hố móng bệ mố M1, M2 và bệ trụ T1, T2 (Link Sheet Đào Đắp)</t>
        </is>
      </c>
      <c r="D32" s="17" t="inlineStr">
        <is>
          <t>m3</t>
        </is>
      </c>
      <c r="E32" s="19" t="n"/>
      <c r="F32" s="19" t="n"/>
      <c r="G32" s="19" t="n"/>
      <c r="H32" s="19" t="n"/>
      <c r="I32" s="19" t="n"/>
      <c r="J32" s="20">
        <f>SUM(J33:J33)</f>
        <v/>
      </c>
      <c r="K32" s="21" t="n">
        <v>145000</v>
      </c>
      <c r="L32" s="22">
        <f>J32*K32</f>
        <v/>
      </c>
    </row>
    <row r="33" ht="19" customHeight="1">
      <c r="A33" s="23" t="n"/>
      <c r="B33" s="23" t="n"/>
      <c r="C33" s="24" t="inlineStr">
        <is>
          <t>- Khối lượng đào đất đá móng bệ mố trụ (Link ô F19 Sheet KHOI_LUONG_DAO_DAP)</t>
        </is>
      </c>
      <c r="D33" s="25" t="inlineStr">
        <is>
          <t>m3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 t="n">
        <v>1</v>
      </c>
      <c r="J33" s="28">
        <f>E33*F33*G33*H33*I33</f>
        <v/>
      </c>
      <c r="K33" s="23" t="n"/>
      <c r="L33" s="23" t="n"/>
    </row>
    <row r="34" ht="22" customHeight="1">
      <c r="A34" s="17" t="inlineStr">
        <is>
          <t>8</t>
        </is>
      </c>
      <c r="B34" s="17" t="inlineStr">
        <is>
          <t>AF.11111</t>
        </is>
      </c>
      <c r="C34" s="18" t="inlineStr">
        <is>
          <t>Bê tông lót đáy bệ móng mác C10 dày 10cm</t>
        </is>
      </c>
      <c r="D34" s="17" t="inlineStr">
        <is>
          <t>m3</t>
        </is>
      </c>
      <c r="E34" s="19" t="n"/>
      <c r="F34" s="19" t="n"/>
      <c r="G34" s="19" t="n"/>
      <c r="H34" s="19" t="n"/>
      <c r="I34" s="19" t="n"/>
      <c r="J34" s="20">
        <f>SUM(J35:J38)</f>
        <v/>
      </c>
      <c r="K34" s="21" t="n">
        <v>1150000</v>
      </c>
      <c r="L34" s="22">
        <f>J34*K34</f>
        <v/>
      </c>
    </row>
    <row r="35" ht="19" customHeight="1">
      <c r="A35" s="23" t="n"/>
      <c r="B35" s="23" t="n"/>
      <c r="C35" s="24" t="inlineStr">
        <is>
          <t>- Lớp bê tông lót đáy bệ mố M1 chân dê</t>
        </is>
      </c>
      <c r="D35" s="25" t="inlineStr">
        <is>
          <t>m3</t>
        </is>
      </c>
      <c r="E35" s="26" t="n">
        <v>1</v>
      </c>
      <c r="F35" s="26" t="n">
        <v>12.5</v>
      </c>
      <c r="G35" s="26" t="n">
        <v>6</v>
      </c>
      <c r="H35" s="26" t="n">
        <v>0.1</v>
      </c>
      <c r="I35" s="27" t="n">
        <v>1</v>
      </c>
      <c r="J35" s="28">
        <f>E35*F35*G35*H35*I35</f>
        <v/>
      </c>
      <c r="K35" s="23" t="n"/>
      <c r="L35" s="23" t="n"/>
    </row>
    <row r="36" ht="19" customHeight="1">
      <c r="A36" s="23" t="n"/>
      <c r="B36" s="23" t="n"/>
      <c r="C36" s="24" t="inlineStr">
        <is>
          <t>- Lớp bê tông lót đáy bệ mố M2 chữ U</t>
        </is>
      </c>
      <c r="D36" s="25" t="inlineStr">
        <is>
          <t>m3</t>
        </is>
      </c>
      <c r="E36" s="26" t="n">
        <v>1</v>
      </c>
      <c r="F36" s="26" t="n">
        <v>14</v>
      </c>
      <c r="G36" s="26" t="n">
        <v>6.5</v>
      </c>
      <c r="H36" s="26" t="n">
        <v>0.1</v>
      </c>
      <c r="I36" s="27" t="n">
        <v>1</v>
      </c>
      <c r="J36" s="28">
        <f>E36*F36*G36*H36*I36</f>
        <v/>
      </c>
      <c r="K36" s="23" t="n"/>
      <c r="L36" s="23" t="n"/>
    </row>
    <row r="37" ht="19" customHeight="1">
      <c r="A37" s="23" t="n"/>
      <c r="B37" s="23" t="n"/>
      <c r="C37" s="24" t="inlineStr">
        <is>
          <t>- Lớp bê tông lót đáy bệ trụ T1</t>
        </is>
      </c>
      <c r="D37" s="25" t="inlineStr">
        <is>
          <t>m3</t>
        </is>
      </c>
      <c r="E37" s="26" t="n">
        <v>1</v>
      </c>
      <c r="F37" s="26" t="n">
        <v>13</v>
      </c>
      <c r="G37" s="26" t="n">
        <v>6.5</v>
      </c>
      <c r="H37" s="26" t="n">
        <v>0.1</v>
      </c>
      <c r="I37" s="27" t="n">
        <v>1</v>
      </c>
      <c r="J37" s="28">
        <f>E37*F37*G37*H37*I37</f>
        <v/>
      </c>
      <c r="K37" s="23" t="n"/>
      <c r="L37" s="23" t="n"/>
    </row>
    <row r="38" ht="19" customHeight="1">
      <c r="A38" s="23" t="n"/>
      <c r="B38" s="23" t="n"/>
      <c r="C38" s="24" t="inlineStr">
        <is>
          <t>- Lớp bê tông lót đáy bệ trụ T2</t>
        </is>
      </c>
      <c r="D38" s="25" t="inlineStr">
        <is>
          <t>m3</t>
        </is>
      </c>
      <c r="E38" s="26" t="n">
        <v>1</v>
      </c>
      <c r="F38" s="26" t="n">
        <v>13</v>
      </c>
      <c r="G38" s="26" t="n">
        <v>6.5</v>
      </c>
      <c r="H38" s="26" t="n">
        <v>0.1</v>
      </c>
      <c r="I38" s="27" t="n">
        <v>1</v>
      </c>
      <c r="J38" s="28">
        <f>E38*F38*G38*H38*I38</f>
        <v/>
      </c>
      <c r="K38" s="23" t="n"/>
      <c r="L38" s="23" t="n"/>
    </row>
    <row r="39" ht="22" customHeight="1">
      <c r="A39" s="17" t="inlineStr">
        <is>
          <t>9</t>
        </is>
      </c>
      <c r="B39" s="17" t="inlineStr">
        <is>
          <t>AF.12111</t>
        </is>
      </c>
      <c r="C39" s="18" t="inlineStr">
        <is>
          <t>Bê tông bệ móng mố M1, M2 và bệ trụ T1, T2 mác C30</t>
        </is>
      </c>
      <c r="D39" s="17" t="inlineStr">
        <is>
          <t>m3</t>
        </is>
      </c>
      <c r="E39" s="19" t="n"/>
      <c r="F39" s="19" t="n"/>
      <c r="G39" s="19" t="n"/>
      <c r="H39" s="19" t="n"/>
      <c r="I39" s="19" t="n"/>
      <c r="J39" s="20">
        <f>SUM(J40:J43)</f>
        <v/>
      </c>
      <c r="K39" s="21" t="n">
        <v>1480000</v>
      </c>
      <c r="L39" s="22">
        <f>J39*K39</f>
        <v/>
      </c>
    </row>
    <row r="40" ht="19" customHeight="1">
      <c r="A40" s="23" t="n"/>
      <c r="B40" s="23" t="n"/>
      <c r="C40" s="24" t="inlineStr">
        <is>
          <t>- Bệ móng mố M1 chân dê (chiều cao bệ h=2.0m)</t>
        </is>
      </c>
      <c r="D40" s="25" t="inlineStr">
        <is>
          <t>m3</t>
        </is>
      </c>
      <c r="E40" s="26" t="n">
        <v>1</v>
      </c>
      <c r="F40" s="26" t="n">
        <v>12</v>
      </c>
      <c r="G40" s="26" t="n">
        <v>5.5</v>
      </c>
      <c r="H40" s="26" t="n">
        <v>2</v>
      </c>
      <c r="I40" s="27" t="n">
        <v>1.1287</v>
      </c>
      <c r="J40" s="28">
        <f>E40*F40*G40*H40*I40</f>
        <v/>
      </c>
      <c r="K40" s="23" t="n"/>
      <c r="L40" s="23" t="n"/>
    </row>
    <row r="41" ht="19" customHeight="1">
      <c r="A41" s="23" t="n"/>
      <c r="B41" s="23" t="n"/>
      <c r="C41" s="24" t="inlineStr">
        <is>
          <t>- Bệ móng mố M2 chữ U (chiều cao bệ h=2.0m)</t>
        </is>
      </c>
      <c r="D41" s="25" t="inlineStr">
        <is>
          <t>m3</t>
        </is>
      </c>
      <c r="E41" s="26" t="n">
        <v>1</v>
      </c>
      <c r="F41" s="26" t="n">
        <v>13.5</v>
      </c>
      <c r="G41" s="26" t="n">
        <v>5.5</v>
      </c>
      <c r="H41" s="26" t="n">
        <v>2</v>
      </c>
      <c r="I41" s="27" t="n">
        <v>1.0033</v>
      </c>
      <c r="J41" s="28">
        <f>E41*F41*G41*H41*I41</f>
        <v/>
      </c>
      <c r="K41" s="23" t="n"/>
      <c r="L41" s="23" t="n"/>
    </row>
    <row r="42" ht="19" customHeight="1">
      <c r="A42" s="23" t="n"/>
      <c r="B42" s="23" t="n"/>
      <c r="C42" s="24" t="inlineStr">
        <is>
          <t>- Bệ móng trụ T1 thân đặc (chiều cao bệ h=2.5m)</t>
        </is>
      </c>
      <c r="D42" s="25" t="inlineStr">
        <is>
          <t>m3</t>
        </is>
      </c>
      <c r="E42" s="26" t="n">
        <v>1</v>
      </c>
      <c r="F42" s="26" t="n">
        <v>12.3</v>
      </c>
      <c r="G42" s="26" t="n">
        <v>6</v>
      </c>
      <c r="H42" s="26" t="n">
        <v>2.5</v>
      </c>
      <c r="I42" s="27" t="n">
        <v>1</v>
      </c>
      <c r="J42" s="28">
        <f>E42*F42*G42*H42*I42</f>
        <v/>
      </c>
      <c r="K42" s="23" t="n"/>
      <c r="L42" s="23" t="n"/>
    </row>
    <row r="43" ht="19" customHeight="1">
      <c r="A43" s="23" t="n"/>
      <c r="B43" s="23" t="n"/>
      <c r="C43" s="24" t="inlineStr">
        <is>
          <t>- Bệ móng trụ T2 thân đặc (chiều cao bệ h=2.5m)</t>
        </is>
      </c>
      <c r="D43" s="25" t="inlineStr">
        <is>
          <t>m3</t>
        </is>
      </c>
      <c r="E43" s="26" t="n">
        <v>1</v>
      </c>
      <c r="F43" s="26" t="n">
        <v>12.3</v>
      </c>
      <c r="G43" s="26" t="n">
        <v>6</v>
      </c>
      <c r="H43" s="26" t="n">
        <v>2.5</v>
      </c>
      <c r="I43" s="27" t="n">
        <v>1</v>
      </c>
      <c r="J43" s="28">
        <f>E43*F43*G43*H43*I43</f>
        <v/>
      </c>
      <c r="K43" s="23" t="n"/>
      <c r="L43" s="23" t="n"/>
    </row>
    <row r="44" ht="22" customHeight="1">
      <c r="A44" s="17" t="inlineStr">
        <is>
          <t>10</t>
        </is>
      </c>
      <c r="B44" s="17" t="inlineStr">
        <is>
          <t>AF.12211</t>
        </is>
      </c>
      <c r="C44" s="18" t="inlineStr">
        <is>
          <t>Bê tông thân mố chân dê M1 và mố chữ U M2 mác C30</t>
        </is>
      </c>
      <c r="D44" s="17" t="inlineStr">
        <is>
          <t>m3</t>
        </is>
      </c>
      <c r="E44" s="19" t="n"/>
      <c r="F44" s="19" t="n"/>
      <c r="G44" s="19" t="n"/>
      <c r="H44" s="19" t="n"/>
      <c r="I44" s="19" t="n"/>
      <c r="J44" s="20">
        <f>SUM(J45:J46)</f>
        <v/>
      </c>
      <c r="K44" s="21" t="n">
        <v>1520000</v>
      </c>
      <c r="L44" s="22">
        <f>J44*K44</f>
        <v/>
      </c>
    </row>
    <row r="45" ht="19" customHeight="1">
      <c r="A45" s="23" t="n"/>
      <c r="B45" s="23" t="n"/>
      <c r="C45" s="24" t="inlineStr">
        <is>
          <t>- Thân mố M1 chân dê</t>
        </is>
      </c>
      <c r="D45" s="25" t="inlineStr">
        <is>
          <t>m3</t>
        </is>
      </c>
      <c r="E45" s="26" t="n">
        <v>1</v>
      </c>
      <c r="F45" s="26" t="n">
        <v>11.75</v>
      </c>
      <c r="G45" s="26" t="n">
        <v>1.2</v>
      </c>
      <c r="H45" s="26" t="n">
        <v>6</v>
      </c>
      <c r="I45" s="27" t="n">
        <v>1</v>
      </c>
      <c r="J45" s="28">
        <f>E45*F45*G45*H45*I45</f>
        <v/>
      </c>
      <c r="K45" s="23" t="n"/>
      <c r="L45" s="23" t="n"/>
    </row>
    <row r="46" ht="19" customHeight="1">
      <c r="A46" s="23" t="n"/>
      <c r="B46" s="23" t="n"/>
      <c r="C46" s="24" t="inlineStr">
        <is>
          <t>- Thân mố M2 chữ U (tường thân trước)</t>
        </is>
      </c>
      <c r="D46" s="25" t="inlineStr">
        <is>
          <t>m3</t>
        </is>
      </c>
      <c r="E46" s="26" t="n">
        <v>1</v>
      </c>
      <c r="F46" s="26" t="n">
        <v>11.75</v>
      </c>
      <c r="G46" s="26" t="n">
        <v>1.2</v>
      </c>
      <c r="H46" s="26" t="n">
        <v>6</v>
      </c>
      <c r="I46" s="27" t="n">
        <v>1</v>
      </c>
      <c r="J46" s="28">
        <f>E46*F46*G46*H46*I46</f>
        <v/>
      </c>
      <c r="K46" s="23" t="n"/>
      <c r="L46" s="23" t="n"/>
    </row>
    <row r="47" ht="22" customHeight="1">
      <c r="A47" s="17" t="inlineStr">
        <is>
          <t>11</t>
        </is>
      </c>
      <c r="B47" s="17" t="inlineStr">
        <is>
          <t>AF.12311</t>
        </is>
      </c>
      <c r="C47" s="18" t="inlineStr">
        <is>
          <t>Bê tông tường cánh và tường đỉnh mố M1, M2 mác C30</t>
        </is>
      </c>
      <c r="D47" s="17" t="inlineStr">
        <is>
          <t>m3</t>
        </is>
      </c>
      <c r="E47" s="19" t="n"/>
      <c r="F47" s="19" t="n"/>
      <c r="G47" s="19" t="n"/>
      <c r="H47" s="19" t="n"/>
      <c r="I47" s="19" t="n"/>
      <c r="J47" s="20">
        <f>SUM(J48:J49)</f>
        <v/>
      </c>
      <c r="K47" s="21" t="n">
        <v>1520000</v>
      </c>
      <c r="L47" s="22">
        <f>J47*K47</f>
        <v/>
      </c>
    </row>
    <row r="48" ht="19" customHeight="1">
      <c r="A48" s="23" t="n"/>
      <c r="B48" s="23" t="n"/>
      <c r="C48" s="24" t="inlineStr">
        <is>
          <t>- Tường đỉnh mố M1 và M2</t>
        </is>
      </c>
      <c r="D48" s="25" t="inlineStr">
        <is>
          <t>m3</t>
        </is>
      </c>
      <c r="E48" s="26" t="n">
        <v>2</v>
      </c>
      <c r="F48" s="26" t="n">
        <v>11.75</v>
      </c>
      <c r="G48" s="26" t="n">
        <v>0.45</v>
      </c>
      <c r="H48" s="26" t="n">
        <v>2.71</v>
      </c>
      <c r="I48" s="27" t="n">
        <v>1</v>
      </c>
      <c r="J48" s="28">
        <f>E48*F48*G48*H48*I48</f>
        <v/>
      </c>
      <c r="K48" s="23" t="n"/>
      <c r="L48" s="23" t="n"/>
    </row>
    <row r="49" ht="19" customHeight="1">
      <c r="A49" s="23" t="n"/>
      <c r="B49" s="23" t="n"/>
      <c r="C49" s="24" t="inlineStr">
        <is>
          <t>- Tường cánh mố M1 và M2 (4 tường cánh vát)</t>
        </is>
      </c>
      <c r="D49" s="25" t="inlineStr">
        <is>
          <t>m3</t>
        </is>
      </c>
      <c r="E49" s="26" t="n">
        <v>4</v>
      </c>
      <c r="F49" s="26" t="n">
        <v>7.5</v>
      </c>
      <c r="G49" s="26" t="n">
        <v>0.4</v>
      </c>
      <c r="H49" s="26" t="n">
        <v>4.22</v>
      </c>
      <c r="I49" s="27" t="n">
        <v>0.4</v>
      </c>
      <c r="J49" s="28">
        <f>E49*F49*G49*H49*I49</f>
        <v/>
      </c>
      <c r="K49" s="23" t="n"/>
      <c r="L49" s="23" t="n"/>
    </row>
    <row r="50" ht="22" customHeight="1">
      <c r="A50" s="17" t="inlineStr">
        <is>
          <t>12</t>
        </is>
      </c>
      <c r="B50" s="17" t="inlineStr">
        <is>
          <t>AF.13111</t>
        </is>
      </c>
      <c r="C50" s="18" t="inlineStr">
        <is>
          <t>Bê tông thân đặc trụ T1 và T2 mác C30</t>
        </is>
      </c>
      <c r="D50" s="17" t="inlineStr">
        <is>
          <t>m3</t>
        </is>
      </c>
      <c r="E50" s="19" t="n"/>
      <c r="F50" s="19" t="n"/>
      <c r="G50" s="19" t="n"/>
      <c r="H50" s="19" t="n"/>
      <c r="I50" s="19" t="n"/>
      <c r="J50" s="20">
        <f>SUM(J51:J52)</f>
        <v/>
      </c>
      <c r="K50" s="21" t="n">
        <v>1550000</v>
      </c>
      <c r="L50" s="22">
        <f>J50*K50</f>
        <v/>
      </c>
    </row>
    <row r="51" ht="19" customHeight="1">
      <c r="A51" s="23" t="n"/>
      <c r="B51" s="23" t="n"/>
      <c r="C51" s="24" t="inlineStr">
        <is>
          <t>- Thân đặc trụ T1 (chiều cao trụ H=14.5m)</t>
        </is>
      </c>
      <c r="D51" s="25" t="inlineStr">
        <is>
          <t>m3</t>
        </is>
      </c>
      <c r="E51" s="26" t="n">
        <v>1</v>
      </c>
      <c r="F51" s="26" t="n">
        <v>9.75</v>
      </c>
      <c r="G51" s="26" t="n">
        <v>2</v>
      </c>
      <c r="H51" s="26" t="n">
        <v>14.5</v>
      </c>
      <c r="I51" s="27" t="n">
        <v>0.995</v>
      </c>
      <c r="J51" s="28">
        <f>E51*F51*G51*H51*I51</f>
        <v/>
      </c>
      <c r="K51" s="23" t="n"/>
      <c r="L51" s="23" t="n"/>
    </row>
    <row r="52" ht="19" customHeight="1">
      <c r="A52" s="23" t="n"/>
      <c r="B52" s="23" t="n"/>
      <c r="C52" s="24" t="inlineStr">
        <is>
          <t>- Thân đặc trụ T2 (chiều cao trụ H=11.4m)</t>
        </is>
      </c>
      <c r="D52" s="25" t="inlineStr">
        <is>
          <t>m3</t>
        </is>
      </c>
      <c r="E52" s="26" t="n">
        <v>1</v>
      </c>
      <c r="F52" s="26" t="n">
        <v>9.75</v>
      </c>
      <c r="G52" s="26" t="n">
        <v>2</v>
      </c>
      <c r="H52" s="26" t="n">
        <v>11.4</v>
      </c>
      <c r="I52" s="27" t="n">
        <v>0.995</v>
      </c>
      <c r="J52" s="28">
        <f>E52*F52*G52*H52*I52</f>
        <v/>
      </c>
      <c r="K52" s="23" t="n"/>
      <c r="L52" s="23" t="n"/>
    </row>
    <row r="53" ht="22" customHeight="1">
      <c r="A53" s="17" t="inlineStr">
        <is>
          <t>13</t>
        </is>
      </c>
      <c r="B53" s="17" t="inlineStr">
        <is>
          <t>AF.13211</t>
        </is>
      </c>
      <c r="C53" s="18" t="inlineStr">
        <is>
          <t>Bê tông xà mũ trụ T1, T2 mác C30</t>
        </is>
      </c>
      <c r="D53" s="17" t="inlineStr">
        <is>
          <t>m3</t>
        </is>
      </c>
      <c r="E53" s="19" t="n"/>
      <c r="F53" s="19" t="n"/>
      <c r="G53" s="19" t="n"/>
      <c r="H53" s="19" t="n"/>
      <c r="I53" s="19" t="n"/>
      <c r="J53" s="20">
        <f>SUM(J54:J55)</f>
        <v/>
      </c>
      <c r="K53" s="21" t="n">
        <v>1580000</v>
      </c>
      <c r="L53" s="22">
        <f>J53*K53</f>
        <v/>
      </c>
    </row>
    <row r="54" ht="19" customHeight="1">
      <c r="A54" s="23" t="n"/>
      <c r="B54" s="23" t="n"/>
      <c r="C54" s="24" t="inlineStr">
        <is>
          <t>- Xà mũ trụ T1 (kích thước vát 12.3m x 3.3m x 1.8m)</t>
        </is>
      </c>
      <c r="D54" s="25" t="inlineStr">
        <is>
          <t>m3</t>
        </is>
      </c>
      <c r="E54" s="26" t="n">
        <v>1</v>
      </c>
      <c r="F54" s="26" t="n">
        <v>12.3</v>
      </c>
      <c r="G54" s="26" t="n">
        <v>3.3</v>
      </c>
      <c r="H54" s="26" t="n">
        <v>1.8</v>
      </c>
      <c r="I54" s="27" t="n">
        <v>1</v>
      </c>
      <c r="J54" s="28">
        <f>E54*F54*G54*H54*I54</f>
        <v/>
      </c>
      <c r="K54" s="23" t="n"/>
      <c r="L54" s="23" t="n"/>
    </row>
    <row r="55" ht="19" customHeight="1">
      <c r="A55" s="23" t="n"/>
      <c r="B55" s="23" t="n"/>
      <c r="C55" s="24" t="inlineStr">
        <is>
          <t>- Xà mũ trụ T2 (kích thước vát 12.3m x 3.3m x 1.8m)</t>
        </is>
      </c>
      <c r="D55" s="25" t="inlineStr">
        <is>
          <t>m3</t>
        </is>
      </c>
      <c r="E55" s="26" t="n">
        <v>1</v>
      </c>
      <c r="F55" s="26" t="n">
        <v>12.3</v>
      </c>
      <c r="G55" s="26" t="n">
        <v>3.3</v>
      </c>
      <c r="H55" s="26" t="n">
        <v>1.8</v>
      </c>
      <c r="I55" s="27" t="n">
        <v>1</v>
      </c>
      <c r="J55" s="28">
        <f>E55*F55*G55*H55*I55</f>
        <v/>
      </c>
      <c r="K55" s="23" t="n"/>
      <c r="L55" s="23" t="n"/>
    </row>
    <row r="56" ht="22" customHeight="1">
      <c r="A56" s="17" t="inlineStr">
        <is>
          <t>14</t>
        </is>
      </c>
      <c r="B56" s="17" t="inlineStr">
        <is>
          <t>AF.62111</t>
        </is>
      </c>
      <c r="C56" s="18" t="inlineStr">
        <is>
          <t>Cốt thép mố và trụ (D&lt;=10, 10&lt;D&lt;=18, D&gt;18)</t>
        </is>
      </c>
      <c r="D56" s="17" t="inlineStr">
        <is>
          <t>Tấn</t>
        </is>
      </c>
      <c r="E56" s="19" t="n"/>
      <c r="F56" s="19" t="n"/>
      <c r="G56" s="19" t="n"/>
      <c r="H56" s="19" t="n"/>
      <c r="I56" s="19" t="n"/>
      <c r="J56" s="20">
        <f>SUM(J57:J60)</f>
        <v/>
      </c>
      <c r="K56" s="21" t="n">
        <v>18500000</v>
      </c>
      <c r="L56" s="22">
        <f>J56*K56</f>
        <v/>
      </c>
    </row>
    <row r="57" ht="19" customHeight="1">
      <c r="A57" s="23" t="n"/>
      <c r="B57" s="23" t="n"/>
      <c r="C57" s="24" t="inlineStr">
        <is>
          <t>- Cốt thép mố M1 (tổng hợp bản vẽ Trang 31)</t>
        </is>
      </c>
      <c r="D57" s="25" t="inlineStr">
        <is>
          <t>Tấn</t>
        </is>
      </c>
      <c r="E57" s="26" t="n">
        <v>1</v>
      </c>
      <c r="F57" s="26" t="n">
        <v>23.45</v>
      </c>
      <c r="G57" s="26" t="n">
        <v>1</v>
      </c>
      <c r="H57" s="26" t="n">
        <v>1</v>
      </c>
      <c r="I57" s="27" t="n">
        <v>1</v>
      </c>
      <c r="J57" s="28">
        <f>E57*F57*G57*H57*I57</f>
        <v/>
      </c>
      <c r="K57" s="23" t="n"/>
      <c r="L57" s="23" t="n"/>
    </row>
    <row r="58" ht="19" customHeight="1">
      <c r="A58" s="23" t="n"/>
      <c r="B58" s="23" t="n"/>
      <c r="C58" s="24" t="inlineStr">
        <is>
          <t>- Cốt thép mố M2 (tổng hợp bản vẽ Trang 40)</t>
        </is>
      </c>
      <c r="D58" s="25" t="inlineStr">
        <is>
          <t>Tấn</t>
        </is>
      </c>
      <c r="E58" s="26" t="n">
        <v>1</v>
      </c>
      <c r="F58" s="26" t="n">
        <v>31.85</v>
      </c>
      <c r="G58" s="26" t="n">
        <v>1</v>
      </c>
      <c r="H58" s="26" t="n">
        <v>1</v>
      </c>
      <c r="I58" s="27" t="n">
        <v>1</v>
      </c>
      <c r="J58" s="28">
        <f>E58*F58*G58*H58*I58</f>
        <v/>
      </c>
      <c r="K58" s="23" t="n"/>
      <c r="L58" s="23" t="n"/>
    </row>
    <row r="59" ht="19" customHeight="1">
      <c r="A59" s="23" t="n"/>
      <c r="B59" s="23" t="n"/>
      <c r="C59" s="24" t="inlineStr">
        <is>
          <t>- Cốt thép trụ T1 (bệ, thân, xà mũ)</t>
        </is>
      </c>
      <c r="D59" s="25" t="inlineStr">
        <is>
          <t>Tấn</t>
        </is>
      </c>
      <c r="E59" s="26" t="n">
        <v>1</v>
      </c>
      <c r="F59" s="26" t="n">
        <v>38.6</v>
      </c>
      <c r="G59" s="26" t="n">
        <v>1</v>
      </c>
      <c r="H59" s="26" t="n">
        <v>1</v>
      </c>
      <c r="I59" s="27" t="n">
        <v>1</v>
      </c>
      <c r="J59" s="28">
        <f>E59*F59*G59*H59*I59</f>
        <v/>
      </c>
      <c r="K59" s="23" t="n"/>
      <c r="L59" s="23" t="n"/>
    </row>
    <row r="60" ht="19" customHeight="1">
      <c r="A60" s="23" t="n"/>
      <c r="B60" s="23" t="n"/>
      <c r="C60" s="24" t="inlineStr">
        <is>
          <t>- Cốt thép trụ T2 (bệ, thân, xà mũ)</t>
        </is>
      </c>
      <c r="D60" s="25" t="inlineStr">
        <is>
          <t>Tấn</t>
        </is>
      </c>
      <c r="E60" s="26" t="n">
        <v>1</v>
      </c>
      <c r="F60" s="26" t="n">
        <v>34.2</v>
      </c>
      <c r="G60" s="26" t="n">
        <v>1</v>
      </c>
      <c r="H60" s="26" t="n">
        <v>1</v>
      </c>
      <c r="I60" s="27" t="n">
        <v>1</v>
      </c>
      <c r="J60" s="28">
        <f>E60*F60*G60*H60*I60</f>
        <v/>
      </c>
      <c r="K60" s="23" t="n"/>
      <c r="L60" s="23" t="n"/>
    </row>
    <row r="61" ht="24" customHeight="1">
      <c r="A61" s="16" t="inlineStr">
        <is>
          <t>PHẦN III: KẾT CẤU PHẦN TRÊN (15 PHIẾN DẦM SUPER-T L=38.2M, BẢN MẶT CẦU)</t>
        </is>
      </c>
    </row>
    <row r="62" ht="22" customHeight="1">
      <c r="A62" s="17" t="inlineStr">
        <is>
          <t>15</t>
        </is>
      </c>
      <c r="B62" s="17" t="inlineStr">
        <is>
          <t>AF.31111</t>
        </is>
      </c>
      <c r="C62" s="18" t="inlineStr">
        <is>
          <t>Bê tông dầm chủ Super-T L=38.2m mác cao C45/55</t>
        </is>
      </c>
      <c r="D62" s="17" t="inlineStr">
        <is>
          <t>m3</t>
        </is>
      </c>
      <c r="E62" s="19" t="n"/>
      <c r="F62" s="19" t="n"/>
      <c r="G62" s="19" t="n"/>
      <c r="H62" s="19" t="n"/>
      <c r="I62" s="19" t="n"/>
      <c r="J62" s="20">
        <f>SUM(J63:J63)</f>
        <v/>
      </c>
      <c r="K62" s="21" t="n">
        <v>2150000</v>
      </c>
      <c r="L62" s="22">
        <f>J62*K62</f>
        <v/>
      </c>
    </row>
    <row r="63" ht="19" customHeight="1">
      <c r="A63" s="23" t="n"/>
      <c r="B63" s="23" t="n"/>
      <c r="C63" s="24" t="inlineStr">
        <is>
          <t>- Bê tông 15 phiến dầm Super-T (chiều dài L=38.2m, F_tb=0.759m2)</t>
        </is>
      </c>
      <c r="D63" s="25" t="inlineStr">
        <is>
          <t>m3</t>
        </is>
      </c>
      <c r="E63" s="26" t="n">
        <v>15</v>
      </c>
      <c r="F63" s="26" t="n">
        <v>38.2</v>
      </c>
      <c r="G63" s="26" t="n">
        <v>0.759</v>
      </c>
      <c r="H63" s="26" t="n">
        <v>1</v>
      </c>
      <c r="I63" s="27" t="n">
        <v>1</v>
      </c>
      <c r="J63" s="28">
        <f>E63*F63*G63*H63*I63</f>
        <v/>
      </c>
      <c r="K63" s="23" t="n"/>
      <c r="L63" s="23" t="n"/>
    </row>
    <row r="64" ht="22" customHeight="1">
      <c r="A64" s="17" t="inlineStr">
        <is>
          <t>16</t>
        </is>
      </c>
      <c r="B64" s="17" t="inlineStr">
        <is>
          <t>AF.63111</t>
        </is>
      </c>
      <c r="C64" s="18" t="inlineStr">
        <is>
          <t>Cáp dự ứng lực tao xoắn 15.2mm Grade 270 kéo căng trước/sau</t>
        </is>
      </c>
      <c r="D64" s="17" t="inlineStr">
        <is>
          <t>Tấn</t>
        </is>
      </c>
      <c r="E64" s="19" t="n"/>
      <c r="F64" s="19" t="n"/>
      <c r="G64" s="19" t="n"/>
      <c r="H64" s="19" t="n"/>
      <c r="I64" s="19" t="n"/>
      <c r="J64" s="20">
        <f>SUM(J65:J65)</f>
        <v/>
      </c>
      <c r="K64" s="21" t="n">
        <v>42000000</v>
      </c>
      <c r="L64" s="22">
        <f>J64*K64</f>
        <v/>
      </c>
    </row>
    <row r="65" ht="19" customHeight="1">
      <c r="A65" s="23" t="n"/>
      <c r="B65" s="23" t="n"/>
      <c r="C65" s="24" t="inlineStr">
        <is>
          <t>- Cáp DUL 15 phiến dầm Super-T (15 phiến x 1.994 tấn/phiến)</t>
        </is>
      </c>
      <c r="D65" s="25" t="inlineStr">
        <is>
          <t>Tấn</t>
        </is>
      </c>
      <c r="E65" s="26" t="n">
        <v>15</v>
      </c>
      <c r="F65" s="26" t="n">
        <v>1.994</v>
      </c>
      <c r="G65" s="26" t="n">
        <v>1</v>
      </c>
      <c r="H65" s="26" t="n">
        <v>1</v>
      </c>
      <c r="I65" s="27" t="n">
        <v>1</v>
      </c>
      <c r="J65" s="28">
        <f>E65*F65*G65*H65*I65</f>
        <v/>
      </c>
      <c r="K65" s="23" t="n"/>
      <c r="L65" s="23" t="n"/>
    </row>
    <row r="66" ht="22" customHeight="1">
      <c r="A66" s="17" t="inlineStr">
        <is>
          <t>17</t>
        </is>
      </c>
      <c r="B66" s="17" t="inlineStr">
        <is>
          <t>AF.64111</t>
        </is>
      </c>
      <c r="C66" s="18" t="inlineStr">
        <is>
          <t>Cốt thép thường dầm chủ Super-T (D10, D14, D16, D20)</t>
        </is>
      </c>
      <c r="D66" s="17" t="inlineStr">
        <is>
          <t>Tấn</t>
        </is>
      </c>
      <c r="E66" s="19" t="n"/>
      <c r="F66" s="19" t="n"/>
      <c r="G66" s="19" t="n"/>
      <c r="H66" s="19" t="n"/>
      <c r="I66" s="19" t="n"/>
      <c r="J66" s="20">
        <f>SUM(J67:J67)</f>
        <v/>
      </c>
      <c r="K66" s="21" t="n">
        <v>18800000</v>
      </c>
      <c r="L66" s="22">
        <f>J66*K66</f>
        <v/>
      </c>
    </row>
    <row r="67" ht="19" customHeight="1">
      <c r="A67" s="23" t="n"/>
      <c r="B67" s="23" t="n"/>
      <c r="C67" s="24" t="inlineStr">
        <is>
          <t>- Cốt thép thường 15 phiến dầm Super-T (15 phiến x 6.042 tấn/phiến)</t>
        </is>
      </c>
      <c r="D67" s="25" t="inlineStr">
        <is>
          <t>Tấn</t>
        </is>
      </c>
      <c r="E67" s="26" t="n">
        <v>15</v>
      </c>
      <c r="F67" s="26" t="n">
        <v>6.042</v>
      </c>
      <c r="G67" s="26" t="n">
        <v>1</v>
      </c>
      <c r="H67" s="26" t="n">
        <v>1</v>
      </c>
      <c r="I67" s="27" t="n">
        <v>1</v>
      </c>
      <c r="J67" s="28">
        <f>E67*F67*G67*H67*I67</f>
        <v/>
      </c>
      <c r="K67" s="23" t="n"/>
      <c r="L67" s="23" t="n"/>
    </row>
    <row r="68" ht="22" customHeight="1">
      <c r="A68" s="17" t="inlineStr">
        <is>
          <t>18</t>
        </is>
      </c>
      <c r="B68" s="17" t="inlineStr">
        <is>
          <t>AC.21111</t>
        </is>
      </c>
      <c r="C68" s="18" t="inlineStr">
        <is>
          <t>Vận chuyển và lao lắp 15 phiến dầm Super-T bằng giá lao dầm ray P43</t>
        </is>
      </c>
      <c r="D68" s="17" t="inlineStr">
        <is>
          <t>Phiến</t>
        </is>
      </c>
      <c r="E68" s="19" t="n"/>
      <c r="F68" s="19" t="n"/>
      <c r="G68" s="19" t="n"/>
      <c r="H68" s="19" t="n"/>
      <c r="I68" s="19" t="n"/>
      <c r="J68" s="20">
        <f>SUM(J69:J69)</f>
        <v/>
      </c>
      <c r="K68" s="21" t="n">
        <v>18500000</v>
      </c>
      <c r="L68" s="22">
        <f>J68*K68</f>
        <v/>
      </c>
    </row>
    <row r="69" ht="19" customHeight="1">
      <c r="A69" s="23" t="n"/>
      <c r="B69" s="23" t="n"/>
      <c r="C69" s="24" t="inlineStr">
        <is>
          <t>- Lao lắp hoàn chỉnh 15 phiến dầm vào 3 nhịp (3 nhịp x 5 phiến)</t>
        </is>
      </c>
      <c r="D69" s="25" t="inlineStr">
        <is>
          <t>Phiến</t>
        </is>
      </c>
      <c r="E69" s="26" t="n">
        <v>3</v>
      </c>
      <c r="F69" s="26" t="n">
        <v>5</v>
      </c>
      <c r="G69" s="26" t="n">
        <v>1</v>
      </c>
      <c r="H69" s="26" t="n">
        <v>1</v>
      </c>
      <c r="I69" s="27" t="n">
        <v>1</v>
      </c>
      <c r="J69" s="28">
        <f>E69*F69*G69*H69*I69</f>
        <v/>
      </c>
      <c r="K69" s="23" t="n"/>
      <c r="L69" s="23" t="n"/>
    </row>
    <row r="70" ht="22" customHeight="1">
      <c r="A70" s="17" t="inlineStr">
        <is>
          <t>19</t>
        </is>
      </c>
      <c r="B70" s="17" t="inlineStr">
        <is>
          <t>AF.32111</t>
        </is>
      </c>
      <c r="C70" s="18" t="inlineStr">
        <is>
          <t>Gối chậu cao su di động đơn hướng và song hướng</t>
        </is>
      </c>
      <c r="D70" s="17" t="inlineStr">
        <is>
          <t>Cái</t>
        </is>
      </c>
      <c r="E70" s="19" t="n"/>
      <c r="F70" s="19" t="n"/>
      <c r="G70" s="19" t="n"/>
      <c r="H70" s="19" t="n"/>
      <c r="I70" s="19" t="n"/>
      <c r="J70" s="20">
        <f>SUM(J71:J72)</f>
        <v/>
      </c>
      <c r="K70" s="21" t="n">
        <v>12500000</v>
      </c>
      <c r="L70" s="22">
        <f>J70*K70</f>
        <v/>
      </c>
    </row>
    <row r="71" ht="19" customHeight="1">
      <c r="A71" s="23" t="n"/>
      <c r="B71" s="23" t="n"/>
      <c r="C71" s="24" t="inlineStr">
        <is>
          <t>- Gối chậu đơn hướng (15 vị trí trên mố và trụ)</t>
        </is>
      </c>
      <c r="D71" s="25" t="inlineStr">
        <is>
          <t>Cái</t>
        </is>
      </c>
      <c r="E71" s="26" t="n">
        <v>15</v>
      </c>
      <c r="F71" s="26" t="n">
        <v>1</v>
      </c>
      <c r="G71" s="26" t="n">
        <v>1</v>
      </c>
      <c r="H71" s="26" t="n">
        <v>1</v>
      </c>
      <c r="I71" s="27" t="n">
        <v>1</v>
      </c>
      <c r="J71" s="28">
        <f>E71*F71*G71*H71*I71</f>
        <v/>
      </c>
      <c r="K71" s="23" t="n"/>
      <c r="L71" s="23" t="n"/>
    </row>
    <row r="72" ht="19" customHeight="1">
      <c r="A72" s="23" t="n"/>
      <c r="B72" s="23" t="n"/>
      <c r="C72" s="24" t="inlineStr">
        <is>
          <t>- Gối chậu song hướng (15 vị trí trên mố và trụ)</t>
        </is>
      </c>
      <c r="D72" s="25" t="inlineStr">
        <is>
          <t>Cái</t>
        </is>
      </c>
      <c r="E72" s="26" t="n">
        <v>15</v>
      </c>
      <c r="F72" s="26" t="n">
        <v>1</v>
      </c>
      <c r="G72" s="26" t="n">
        <v>1</v>
      </c>
      <c r="H72" s="26" t="n">
        <v>1</v>
      </c>
      <c r="I72" s="27" t="n">
        <v>1</v>
      </c>
      <c r="J72" s="28">
        <f>E72*F72*G72*H72*I72</f>
        <v/>
      </c>
      <c r="K72" s="23" t="n"/>
      <c r="L72" s="23" t="n"/>
    </row>
    <row r="73" ht="22" customHeight="1">
      <c r="A73" s="17" t="inlineStr">
        <is>
          <t>20</t>
        </is>
      </c>
      <c r="B73" s="17" t="inlineStr">
        <is>
          <t>AF.33111</t>
        </is>
      </c>
      <c r="C73" s="18" t="inlineStr">
        <is>
          <t>Bê tông dầm ngang mố và trụ mác C35</t>
        </is>
      </c>
      <c r="D73" s="17" t="inlineStr">
        <is>
          <t>m3</t>
        </is>
      </c>
      <c r="E73" s="19" t="n"/>
      <c r="F73" s="19" t="n"/>
      <c r="G73" s="19" t="n"/>
      <c r="H73" s="19" t="n"/>
      <c r="I73" s="19" t="n"/>
      <c r="J73" s="20">
        <f>SUM(J74:J74)</f>
        <v/>
      </c>
      <c r="K73" s="21" t="n">
        <v>1650000</v>
      </c>
      <c r="L73" s="22">
        <f>J73*K73</f>
        <v/>
      </c>
    </row>
    <row r="74" ht="19" customHeight="1">
      <c r="A74" s="23" t="n"/>
      <c r="B74" s="23" t="n"/>
      <c r="C74" s="24" t="inlineStr">
        <is>
          <t>- Dầm ngang tại 2 mố và 2 trụ</t>
        </is>
      </c>
      <c r="D74" s="25" t="inlineStr">
        <is>
          <t>m3</t>
        </is>
      </c>
      <c r="E74" s="26" t="n">
        <v>4</v>
      </c>
      <c r="F74" s="26" t="n">
        <v>12.3</v>
      </c>
      <c r="G74" s="26" t="n">
        <v>0.45</v>
      </c>
      <c r="H74" s="26" t="n">
        <v>1.8</v>
      </c>
      <c r="I74" s="27" t="n">
        <v>1</v>
      </c>
      <c r="J74" s="28">
        <f>E74*F74*G74*H74*I74</f>
        <v/>
      </c>
      <c r="K74" s="23" t="n"/>
      <c r="L74" s="23" t="n"/>
    </row>
    <row r="75" ht="22" customHeight="1">
      <c r="A75" s="17" t="inlineStr">
        <is>
          <t>21</t>
        </is>
      </c>
      <c r="B75" s="17" t="inlineStr">
        <is>
          <t>AF.34111</t>
        </is>
      </c>
      <c r="C75" s="18" t="inlineStr">
        <is>
          <t>Cung cấp và lắp đặt tấm ván khuôn đúc sẵn đáy bản mặt cầu</t>
        </is>
      </c>
      <c r="D75" s="17" t="inlineStr">
        <is>
          <t>Tấm</t>
        </is>
      </c>
      <c r="E75" s="19" t="n"/>
      <c r="F75" s="19" t="n"/>
      <c r="G75" s="19" t="n"/>
      <c r="H75" s="19" t="n"/>
      <c r="I75" s="19" t="n"/>
      <c r="J75" s="20">
        <f>SUM(J76:J76)</f>
        <v/>
      </c>
      <c r="K75" s="21" t="n">
        <v>285000</v>
      </c>
      <c r="L75" s="22">
        <f>J75*K75</f>
        <v/>
      </c>
    </row>
    <row r="76" ht="19" customHeight="1">
      <c r="A76" s="23" t="n"/>
      <c r="B76" s="23" t="n"/>
      <c r="C76" s="24" t="inlineStr">
        <is>
          <t>- Tấm ván khuôn đúc sẵn (510 tấm toàn cầu)</t>
        </is>
      </c>
      <c r="D76" s="25" t="inlineStr">
        <is>
          <t>Tấm</t>
        </is>
      </c>
      <c r="E76" s="26" t="n">
        <v>510</v>
      </c>
      <c r="F76" s="26" t="n">
        <v>1</v>
      </c>
      <c r="G76" s="26" t="n">
        <v>1</v>
      </c>
      <c r="H76" s="26" t="n">
        <v>1</v>
      </c>
      <c r="I76" s="27" t="n">
        <v>1</v>
      </c>
      <c r="J76" s="28">
        <f>E76*F76*G76*H76*I76</f>
        <v/>
      </c>
      <c r="K76" s="23" t="n"/>
      <c r="L76" s="23" t="n"/>
    </row>
    <row r="77" ht="22" customHeight="1">
      <c r="A77" s="17" t="inlineStr">
        <is>
          <t>22</t>
        </is>
      </c>
      <c r="B77" s="17" t="inlineStr">
        <is>
          <t>AF.35111</t>
        </is>
      </c>
      <c r="C77" s="18" t="inlineStr">
        <is>
          <t>Bê tông bản mặt cầu đổ tại chỗ dày 180mm mác C35</t>
        </is>
      </c>
      <c r="D77" s="17" t="inlineStr">
        <is>
          <t>m3</t>
        </is>
      </c>
      <c r="E77" s="19" t="n"/>
      <c r="F77" s="19" t="n"/>
      <c r="G77" s="19" t="n"/>
      <c r="H77" s="19" t="n"/>
      <c r="I77" s="19" t="n"/>
      <c r="J77" s="20">
        <f>SUM(J78:J78)</f>
        <v/>
      </c>
      <c r="K77" s="21" t="n">
        <v>1680000</v>
      </c>
      <c r="L77" s="22">
        <f>J77*K77</f>
        <v/>
      </c>
    </row>
    <row r="78" ht="19" customHeight="1">
      <c r="A78" s="23" t="n"/>
      <c r="B78" s="23" t="n"/>
      <c r="C78" s="24" t="inlineStr">
        <is>
          <t>- Bê tông bản mặt cầu 3 nhịp (L=118.2m, B=12.615m, d=0.18m, trừ dầm)</t>
        </is>
      </c>
      <c r="D78" s="25" t="inlineStr">
        <is>
          <t>m3</t>
        </is>
      </c>
      <c r="E78" s="26" t="n">
        <v>1</v>
      </c>
      <c r="F78" s="26" t="n">
        <v>118.2</v>
      </c>
      <c r="G78" s="26" t="n">
        <v>12.615</v>
      </c>
      <c r="H78" s="26" t="n">
        <v>0.18</v>
      </c>
      <c r="I78" s="27" t="n">
        <v>1.1378</v>
      </c>
      <c r="J78" s="28">
        <f>E78*F78*G78*H78*I78</f>
        <v/>
      </c>
      <c r="K78" s="23" t="n"/>
      <c r="L78" s="23" t="n"/>
    </row>
    <row r="79" ht="22" customHeight="1">
      <c r="A79" s="17" t="inlineStr">
        <is>
          <t>23</t>
        </is>
      </c>
      <c r="B79" s="17" t="inlineStr">
        <is>
          <t>AF.36111</t>
        </is>
      </c>
      <c r="C79" s="18" t="inlineStr">
        <is>
          <t>Bê tông mối nối liên tục nhiệt đỉnh trụ T1, T2 mác C35</t>
        </is>
      </c>
      <c r="D79" s="17" t="inlineStr">
        <is>
          <t>m3</t>
        </is>
      </c>
      <c r="E79" s="19" t="n"/>
      <c r="F79" s="19" t="n"/>
      <c r="G79" s="19" t="n"/>
      <c r="H79" s="19" t="n"/>
      <c r="I79" s="19" t="n"/>
      <c r="J79" s="20">
        <f>SUM(J80:J80)</f>
        <v/>
      </c>
      <c r="K79" s="21" t="n">
        <v>1700000</v>
      </c>
      <c r="L79" s="22">
        <f>J79*K79</f>
        <v/>
      </c>
    </row>
    <row r="80" ht="19" customHeight="1">
      <c r="A80" s="23" t="n"/>
      <c r="B80" s="23" t="n"/>
      <c r="C80" s="24" t="inlineStr">
        <is>
          <t>- Bản liên tục nhiệt tại trụ T1 và T2</t>
        </is>
      </c>
      <c r="D80" s="25" t="inlineStr">
        <is>
          <t>m3</t>
        </is>
      </c>
      <c r="E80" s="26" t="n">
        <v>2</v>
      </c>
      <c r="F80" s="26" t="n">
        <v>12.615</v>
      </c>
      <c r="G80" s="26" t="n">
        <v>4</v>
      </c>
      <c r="H80" s="26" t="n">
        <v>0.216</v>
      </c>
      <c r="I80" s="27" t="n">
        <v>1</v>
      </c>
      <c r="J80" s="28">
        <f>E80*F80*G80*H80*I80</f>
        <v/>
      </c>
      <c r="K80" s="23" t="n"/>
      <c r="L80" s="23" t="n"/>
    </row>
    <row r="81" ht="22" customHeight="1">
      <c r="A81" s="17" t="inlineStr">
        <is>
          <t>24</t>
        </is>
      </c>
      <c r="B81" s="17" t="inlineStr">
        <is>
          <t>AF.65111</t>
        </is>
      </c>
      <c r="C81" s="18" t="inlineStr">
        <is>
          <t>Cốt thép bản mặt cầu và mối nối liên tục nhiệt (D14, D16)</t>
        </is>
      </c>
      <c r="D81" s="17" t="inlineStr">
        <is>
          <t>Tấn</t>
        </is>
      </c>
      <c r="E81" s="19" t="n"/>
      <c r="F81" s="19" t="n"/>
      <c r="G81" s="19" t="n"/>
      <c r="H81" s="19" t="n"/>
      <c r="I81" s="19" t="n"/>
      <c r="J81" s="20">
        <f>SUM(J82:J82)</f>
        <v/>
      </c>
      <c r="K81" s="21" t="n">
        <v>18500000</v>
      </c>
      <c r="L81" s="22">
        <f>J81*K81</f>
        <v/>
      </c>
    </row>
    <row r="82" ht="19" customHeight="1">
      <c r="A82" s="23" t="n"/>
      <c r="B82" s="23" t="n"/>
      <c r="C82" s="24" t="inlineStr">
        <is>
          <t>- Thép bản mặt cầu loại 1, loại 2, loại 3 &amp; liên tục nhiệt</t>
        </is>
      </c>
      <c r="D82" s="25" t="inlineStr">
        <is>
          <t>Tấn</t>
        </is>
      </c>
      <c r="E82" s="26" t="n">
        <v>1</v>
      </c>
      <c r="F82" s="26" t="n">
        <v>33.07</v>
      </c>
      <c r="G82" s="26" t="n">
        <v>1</v>
      </c>
      <c r="H82" s="26" t="n">
        <v>1</v>
      </c>
      <c r="I82" s="27" t="n">
        <v>1</v>
      </c>
      <c r="J82" s="28">
        <f>E82*F82*G82*H82*I82</f>
        <v/>
      </c>
      <c r="K82" s="23" t="n"/>
      <c r="L82" s="23" t="n"/>
    </row>
    <row r="83" ht="22" customHeight="1">
      <c r="A83" s="17" t="inlineStr">
        <is>
          <t>25</t>
        </is>
      </c>
      <c r="B83" s="17" t="inlineStr">
        <is>
          <t>AC.31111</t>
        </is>
      </c>
      <c r="C83" s="18" t="inlineStr">
        <is>
          <t>Khe co giãn răng lược thép D=100mm mạ kẽm nhúng nóng</t>
        </is>
      </c>
      <c r="D83" s="17" t="inlineStr">
        <is>
          <t>m</t>
        </is>
      </c>
      <c r="E83" s="19" t="n"/>
      <c r="F83" s="19" t="n"/>
      <c r="G83" s="19" t="n"/>
      <c r="H83" s="19" t="n"/>
      <c r="I83" s="19" t="n"/>
      <c r="J83" s="20">
        <f>SUM(J84:J84)</f>
        <v/>
      </c>
      <c r="K83" s="21" t="n">
        <v>8500000</v>
      </c>
      <c r="L83" s="22">
        <f>J83*K83</f>
        <v/>
      </c>
    </row>
    <row r="84" ht="19" customHeight="1">
      <c r="A84" s="23" t="n"/>
      <c r="B84" s="23" t="n"/>
      <c r="C84" s="24" t="inlineStr">
        <is>
          <t>- Khe co giãn mố M1 và M2 (2 vị trí x 12.25m)</t>
        </is>
      </c>
      <c r="D84" s="25" t="inlineStr">
        <is>
          <t>m</t>
        </is>
      </c>
      <c r="E84" s="26" t="n">
        <v>2</v>
      </c>
      <c r="F84" s="26" t="n">
        <v>12.25</v>
      </c>
      <c r="G84" s="26" t="n">
        <v>1</v>
      </c>
      <c r="H84" s="26" t="n">
        <v>1</v>
      </c>
      <c r="I84" s="27" t="n">
        <v>1</v>
      </c>
      <c r="J84" s="28">
        <f>E84*F84*G84*H84*I84</f>
        <v/>
      </c>
      <c r="K84" s="23" t="n"/>
      <c r="L84" s="23" t="n"/>
    </row>
    <row r="85" ht="24" customHeight="1">
      <c r="A85" s="16" t="inlineStr">
        <is>
          <t>PHẦN IV: KẾT CẤU PHỤ TRỢ, ĐƯỜNG ĐẦU CẦU &amp; HOÀN THIỆN TOÀN CẦU</t>
        </is>
      </c>
    </row>
    <row r="86" ht="22" customHeight="1">
      <c r="A86" s="17" t="inlineStr">
        <is>
          <t>26</t>
        </is>
      </c>
      <c r="B86" s="17" t="inlineStr">
        <is>
          <t>AF.41111</t>
        </is>
      </c>
      <c r="C86" s="18" t="inlineStr">
        <is>
          <t>Bê tông bản quá độ sau mố M1, M2 mác C25</t>
        </is>
      </c>
      <c r="D86" s="17" t="inlineStr">
        <is>
          <t>m3</t>
        </is>
      </c>
      <c r="E86" s="19" t="n"/>
      <c r="F86" s="19" t="n"/>
      <c r="G86" s="19" t="n"/>
      <c r="H86" s="19" t="n"/>
      <c r="I86" s="19" t="n"/>
      <c r="J86" s="20">
        <f>SUM(J87:J88)</f>
        <v/>
      </c>
      <c r="K86" s="21" t="n">
        <v>1450000</v>
      </c>
      <c r="L86" s="22">
        <f>J86*K86</f>
        <v/>
      </c>
    </row>
    <row r="87" ht="19" customHeight="1">
      <c r="A87" s="23" t="n"/>
      <c r="B87" s="23" t="n"/>
      <c r="C87" s="24" t="inlineStr">
        <is>
          <t>- Bản quá độ sau mố M1 (L=8.0m, B=12.5m, d=0.35m)</t>
        </is>
      </c>
      <c r="D87" s="25" t="inlineStr">
        <is>
          <t>m3</t>
        </is>
      </c>
      <c r="E87" s="26" t="n">
        <v>1</v>
      </c>
      <c r="F87" s="26" t="n">
        <v>8</v>
      </c>
      <c r="G87" s="26" t="n">
        <v>12.5</v>
      </c>
      <c r="H87" s="26" t="n">
        <v>0.35</v>
      </c>
      <c r="I87" s="27" t="n">
        <v>0.9626</v>
      </c>
      <c r="J87" s="28">
        <f>E87*F87*G87*H87*I87</f>
        <v/>
      </c>
      <c r="K87" s="23" t="n"/>
      <c r="L87" s="23" t="n"/>
    </row>
    <row r="88" ht="19" customHeight="1">
      <c r="A88" s="23" t="n"/>
      <c r="B88" s="23" t="n"/>
      <c r="C88" s="24" t="inlineStr">
        <is>
          <t>- Bản quá độ sau mố M2 (L=8.0m, B=12.5m, d=0.35m)</t>
        </is>
      </c>
      <c r="D88" s="25" t="inlineStr">
        <is>
          <t>m3</t>
        </is>
      </c>
      <c r="E88" s="26" t="n">
        <v>1</v>
      </c>
      <c r="F88" s="26" t="n">
        <v>8</v>
      </c>
      <c r="G88" s="26" t="n">
        <v>12.5</v>
      </c>
      <c r="H88" s="26" t="n">
        <v>0.35</v>
      </c>
      <c r="I88" s="27" t="n">
        <v>0.9626</v>
      </c>
      <c r="J88" s="28">
        <f>E88*F88*G88*H88*I88</f>
        <v/>
      </c>
      <c r="K88" s="23" t="n"/>
      <c r="L88" s="23" t="n"/>
    </row>
    <row r="89" ht="22" customHeight="1">
      <c r="A89" s="17" t="inlineStr">
        <is>
          <t>27</t>
        </is>
      </c>
      <c r="B89" s="17" t="inlineStr">
        <is>
          <t>AB.21111</t>
        </is>
      </c>
      <c r="C89" s="18" t="inlineStr">
        <is>
          <t>Đắp vật liệu dạng hạt chọn lọc sau mố đầm chặt K &gt;= 0.98</t>
        </is>
      </c>
      <c r="D89" s="17" t="inlineStr">
        <is>
          <t>m3</t>
        </is>
      </c>
      <c r="E89" s="19" t="n"/>
      <c r="F89" s="19" t="n"/>
      <c r="G89" s="19" t="n"/>
      <c r="H89" s="19" t="n"/>
      <c r="I89" s="19" t="n"/>
      <c r="J89" s="20">
        <f>SUM(J90:J90)</f>
        <v/>
      </c>
      <c r="K89" s="21" t="n">
        <v>185000</v>
      </c>
      <c r="L89" s="22">
        <f>J89*K89</f>
        <v/>
      </c>
    </row>
    <row r="90" ht="19" customHeight="1">
      <c r="A90" s="23" t="n"/>
      <c r="B90" s="23" t="n"/>
      <c r="C90" s="24" t="inlineStr">
        <is>
          <t>- Đoạn đắp chuyển tiếp sau mố M1 và M2</t>
        </is>
      </c>
      <c r="D90" s="25" t="inlineStr">
        <is>
          <t>m3</t>
        </is>
      </c>
      <c r="E90" s="26" t="n">
        <v>2</v>
      </c>
      <c r="F90" s="26" t="n">
        <v>18</v>
      </c>
      <c r="G90" s="26" t="n">
        <v>12.5</v>
      </c>
      <c r="H90" s="26" t="n">
        <v>4.5</v>
      </c>
      <c r="I90" s="27" t="n">
        <v>0.5</v>
      </c>
      <c r="J90" s="28">
        <f>E90*F90*G90*H90*I90</f>
        <v/>
      </c>
      <c r="K90" s="23" t="n"/>
      <c r="L90" s="23" t="n"/>
    </row>
    <row r="91" ht="22" customHeight="1">
      <c r="A91" s="17" t="inlineStr">
        <is>
          <t>28</t>
        </is>
      </c>
      <c r="B91" s="17" t="inlineStr">
        <is>
          <t>AF.42111</t>
        </is>
      </c>
      <c r="C91" s="18" t="inlineStr">
        <is>
          <t>Bê tông gờ lan can mác C25 và lắp tay vịn thép mạ kẽm</t>
        </is>
      </c>
      <c r="D91" s="17" t="inlineStr">
        <is>
          <t>m</t>
        </is>
      </c>
      <c r="E91" s="19" t="n"/>
      <c r="F91" s="19" t="n"/>
      <c r="G91" s="19" t="n"/>
      <c r="H91" s="19" t="n"/>
      <c r="I91" s="19" t="n"/>
      <c r="J91" s="20">
        <f>SUM(J92:J92)</f>
        <v/>
      </c>
      <c r="K91" s="21" t="n">
        <v>1650000</v>
      </c>
      <c r="L91" s="22">
        <f>J91*K91</f>
        <v/>
      </c>
    </row>
    <row r="92" ht="19" customHeight="1">
      <c r="A92" s="23" t="n"/>
      <c r="B92" s="23" t="n"/>
      <c r="C92" s="24" t="inlineStr">
        <is>
          <t>- Lan can 2 bên suốt chiều dài cầu (2 bên x 130.4m)</t>
        </is>
      </c>
      <c r="D92" s="25" t="inlineStr">
        <is>
          <t>m</t>
        </is>
      </c>
      <c r="E92" s="26" t="n">
        <v>2</v>
      </c>
      <c r="F92" s="26" t="n">
        <v>130.4</v>
      </c>
      <c r="G92" s="26" t="n">
        <v>1</v>
      </c>
      <c r="H92" s="26" t="n">
        <v>1</v>
      </c>
      <c r="I92" s="27" t="n">
        <v>1</v>
      </c>
      <c r="J92" s="28">
        <f>E92*F92*G92*H92*I92</f>
        <v/>
      </c>
      <c r="K92" s="23" t="n"/>
      <c r="L92" s="23" t="n"/>
    </row>
    <row r="93" ht="22" customHeight="1">
      <c r="A93" s="17" t="inlineStr">
        <is>
          <t>29</t>
        </is>
      </c>
      <c r="B93" s="17" t="inlineStr">
        <is>
          <t>AC.41111</t>
        </is>
      </c>
      <c r="C93" s="18" t="inlineStr">
        <is>
          <t>Hệ thống thoát nước mặt cầu (24 bộ hố ga gang &amp; ống PVC D150)</t>
        </is>
      </c>
      <c r="D93" s="17" t="inlineStr">
        <is>
          <t>Bộ</t>
        </is>
      </c>
      <c r="E93" s="19" t="n"/>
      <c r="F93" s="19" t="n"/>
      <c r="G93" s="19" t="n"/>
      <c r="H93" s="19" t="n"/>
      <c r="I93" s="19" t="n"/>
      <c r="J93" s="20">
        <f>SUM(J94:J94)</f>
        <v/>
      </c>
      <c r="K93" s="21" t="n">
        <v>2850000</v>
      </c>
      <c r="L93" s="22">
        <f>J93*K93</f>
        <v/>
      </c>
    </row>
    <row r="94" ht="19" customHeight="1">
      <c r="A94" s="23" t="n"/>
      <c r="B94" s="23" t="n"/>
      <c r="C94" s="24" t="inlineStr">
        <is>
          <t>- Cụm hố ga gang xám có lưới chắn rác và ống xả D150</t>
        </is>
      </c>
      <c r="D94" s="25" t="inlineStr">
        <is>
          <t>Bộ</t>
        </is>
      </c>
      <c r="E94" s="26" t="n">
        <v>24</v>
      </c>
      <c r="F94" s="26" t="n">
        <v>1</v>
      </c>
      <c r="G94" s="26" t="n">
        <v>1</v>
      </c>
      <c r="H94" s="26" t="n">
        <v>1</v>
      </c>
      <c r="I94" s="27" t="n">
        <v>1</v>
      </c>
      <c r="J94" s="28">
        <f>E94*F94*G94*H94*I94</f>
        <v/>
      </c>
      <c r="K94" s="23" t="n"/>
      <c r="L94" s="23" t="n"/>
    </row>
    <row r="95" ht="22" customHeight="1">
      <c r="A95" s="17" t="inlineStr">
        <is>
          <t>30</t>
        </is>
      </c>
      <c r="B95" s="17" t="inlineStr">
        <is>
          <t>AD.11111</t>
        </is>
      </c>
      <c r="C95" s="18" t="inlineStr">
        <is>
          <t>Lớp phun chống thấm &amp; thảm bê tông nhựa chặt C16 dày 7cm mặt cầu</t>
        </is>
      </c>
      <c r="D95" s="17" t="inlineStr">
        <is>
          <t>m2</t>
        </is>
      </c>
      <c r="E95" s="19" t="n"/>
      <c r="F95" s="19" t="n"/>
      <c r="G95" s="19" t="n"/>
      <c r="H95" s="19" t="n"/>
      <c r="I95" s="19" t="n"/>
      <c r="J95" s="20">
        <f>SUM(J96:J96)</f>
        <v/>
      </c>
      <c r="K95" s="21" t="n">
        <v>385000</v>
      </c>
      <c r="L95" s="22">
        <f>J95*K95</f>
        <v/>
      </c>
    </row>
    <row r="96" ht="19" customHeight="1">
      <c r="A96" s="23" t="n"/>
      <c r="B96" s="23" t="n"/>
      <c r="C96" s="24" t="inlineStr">
        <is>
          <t>- Diện tích mặt cầu xe chạy (L=118.2m x B=11.68m)</t>
        </is>
      </c>
      <c r="D96" s="25" t="inlineStr">
        <is>
          <t>m2</t>
        </is>
      </c>
      <c r="E96" s="26" t="n">
        <v>1</v>
      </c>
      <c r="F96" s="26" t="n">
        <v>118.2</v>
      </c>
      <c r="G96" s="26" t="n">
        <v>11.678</v>
      </c>
      <c r="H96" s="26" t="n">
        <v>1</v>
      </c>
      <c r="I96" s="27" t="n">
        <v>1</v>
      </c>
      <c r="J96" s="28">
        <f>E96*F96*G96*H96*I96</f>
        <v/>
      </c>
      <c r="K96" s="23" t="n"/>
      <c r="L96" s="23" t="n"/>
    </row>
    <row r="97" ht="22" customHeight="1">
      <c r="A97" s="17" t="inlineStr">
        <is>
          <t>31</t>
        </is>
      </c>
      <c r="B97" s="17" t="inlineStr">
        <is>
          <t>AL.11111</t>
        </is>
      </c>
      <c r="C97" s="18" t="inlineStr">
        <is>
          <t>Gia cố mái taluy tứ nón mố bằng đá hộc xây vữa VXM M100</t>
        </is>
      </c>
      <c r="D97" s="17" t="inlineStr">
        <is>
          <t>m3</t>
        </is>
      </c>
      <c r="E97" s="19" t="n"/>
      <c r="F97" s="19" t="n"/>
      <c r="G97" s="19" t="n"/>
      <c r="H97" s="19" t="n"/>
      <c r="I97" s="19" t="n"/>
      <c r="J97" s="20">
        <f>SUM(J98:J98)</f>
        <v/>
      </c>
      <c r="K97" s="21" t="n">
        <v>850000</v>
      </c>
      <c r="L97" s="22">
        <f>J97*K97</f>
        <v/>
      </c>
    </row>
    <row r="98" ht="19" customHeight="1">
      <c r="A98" s="23" t="n"/>
      <c r="B98" s="23" t="n"/>
      <c r="C98" s="24" t="inlineStr">
        <is>
          <t>- Tứ nón và chân khay đá hộc mố M1, M2</t>
        </is>
      </c>
      <c r="D98" s="25" t="inlineStr">
        <is>
          <t>m3</t>
        </is>
      </c>
      <c r="E98" s="26" t="n">
        <v>1</v>
      </c>
      <c r="F98" s="26" t="n">
        <v>52.216</v>
      </c>
      <c r="G98" s="26" t="n">
        <v>1</v>
      </c>
      <c r="H98" s="26" t="n">
        <v>1</v>
      </c>
      <c r="I98" s="27" t="n">
        <v>1</v>
      </c>
      <c r="J98" s="28">
        <f>E98*F98*G98*H98*I98</f>
        <v/>
      </c>
      <c r="K98" s="23" t="n"/>
      <c r="L98" s="23" t="n"/>
    </row>
    <row r="99" ht="22" customHeight="1">
      <c r="A99" s="17" t="inlineStr">
        <is>
          <t>32</t>
        </is>
      </c>
      <c r="B99" s="17" t="inlineStr">
        <is>
          <t>TN.21111</t>
        </is>
      </c>
      <c r="C99" s="18" t="inlineStr">
        <is>
          <t>Thử tải tĩnh/động cầu &amp; kiểm định an toàn chịu lực trước khi bàn giao</t>
        </is>
      </c>
      <c r="D99" s="17" t="inlineStr">
        <is>
          <t>Gói</t>
        </is>
      </c>
      <c r="E99" s="19" t="n"/>
      <c r="F99" s="19" t="n"/>
      <c r="G99" s="19" t="n"/>
      <c r="H99" s="19" t="n"/>
      <c r="I99" s="19" t="n"/>
      <c r="J99" s="20">
        <f>SUM(J100:J100)</f>
        <v/>
      </c>
      <c r="K99" s="21" t="n">
        <v>350000000</v>
      </c>
      <c r="L99" s="22">
        <f>J99*K99</f>
        <v/>
      </c>
    </row>
    <row r="100" ht="19" customHeight="1">
      <c r="A100" s="23" t="n"/>
      <c r="B100" s="23" t="n"/>
      <c r="C100" s="24" t="inlineStr">
        <is>
          <t>- Trọn gói thử tải xe tải nặng theo đề cương phê duyệt</t>
        </is>
      </c>
      <c r="D100" s="25" t="inlineStr">
        <is>
          <t>Gói</t>
        </is>
      </c>
      <c r="E100" s="26" t="n">
        <v>1</v>
      </c>
      <c r="F100" s="26" t="n">
        <v>1</v>
      </c>
      <c r="G100" s="26" t="n">
        <v>1</v>
      </c>
      <c r="H100" s="26" t="n">
        <v>1</v>
      </c>
      <c r="I100" s="27" t="n">
        <v>1</v>
      </c>
      <c r="J100" s="28">
        <f>E100*F100*G100*H100*I100</f>
        <v/>
      </c>
      <c r="K100" s="23" t="n"/>
      <c r="L100" s="23" t="n"/>
    </row>
    <row r="101" ht="26" customHeight="1">
      <c r="A101" s="12" t="inlineStr">
        <is>
          <t>TỔNG CỘNG CHI PHÍ TRỰC TIẾP (T) (VNĐ)</t>
        </is>
      </c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8" t="n"/>
      <c r="L101" s="29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Thông tư 12/2021/TT-BXD, Luật Xây dựng số 135/2025/QH15 &amp; NĐ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17" t="inlineStr">
        <is>
          <t>1</t>
        </is>
      </c>
      <c r="B6" s="18" t="inlineStr">
        <is>
          <t>Chi phí trực tiếp (Vật liệu, Nhân công, Máy thi công)</t>
        </is>
      </c>
      <c r="C6" s="30" t="inlineStr">
        <is>
          <t>Link từ Sheet QS (Ô L101)</t>
        </is>
      </c>
      <c r="D6" s="17" t="inlineStr">
        <is>
          <t>T</t>
        </is>
      </c>
      <c r="E6" s="21">
        <f>QS_DIEN_GIAI_CHI_TIET!L101</f>
        <v/>
      </c>
      <c r="F6" s="31" t="inlineStr">
        <is>
          <t>100% công thức động</t>
        </is>
      </c>
    </row>
    <row r="7" ht="22" customHeight="1">
      <c r="A7" s="17" t="inlineStr">
        <is>
          <t>2</t>
        </is>
      </c>
      <c r="B7" s="18" t="inlineStr">
        <is>
          <t>Chi phí gián tiếp</t>
        </is>
      </c>
      <c r="C7" s="30" t="inlineStr">
        <is>
          <t>GT = T x 7,30% (Công trình giao thông theo tuyến)</t>
        </is>
      </c>
      <c r="D7" s="17" t="inlineStr">
        <is>
          <t>GT</t>
        </is>
      </c>
      <c r="E7" s="21">
        <f>E6*0.073</f>
        <v/>
      </c>
      <c r="F7" s="31" t="inlineStr">
        <is>
          <t>Thông tư 11/2021/TT-BXD</t>
        </is>
      </c>
    </row>
    <row r="8" ht="22" customHeight="1">
      <c r="A8" s="31" t="inlineStr"/>
      <c r="B8" s="32" t="inlineStr">
        <is>
          <t xml:space="preserve">  - Chi phí chung</t>
        </is>
      </c>
      <c r="C8" s="30" t="inlineStr">
        <is>
          <t>5,10% x T</t>
        </is>
      </c>
      <c r="D8" s="31" t="inlineStr">
        <is>
          <t>T_chung</t>
        </is>
      </c>
      <c r="E8" s="33">
        <f>E6*0.051</f>
        <v/>
      </c>
      <c r="F8" s="31" t="inlineStr">
        <is>
          <t>Định mức công trình cầu lớn</t>
        </is>
      </c>
    </row>
    <row r="9" ht="22" customHeight="1">
      <c r="A9" s="31" t="inlineStr"/>
      <c r="B9" s="32" t="inlineStr">
        <is>
          <t xml:space="preserve">  - Chi phí xây dựng nhà tạm để ở và điều hành thi công</t>
        </is>
      </c>
      <c r="C9" s="30" t="inlineStr">
        <is>
          <t>1,20% x T</t>
        </is>
      </c>
      <c r="D9" s="31" t="inlineStr">
        <is>
          <t>T_tam</t>
        </is>
      </c>
      <c r="E9" s="33">
        <f>E6*0.012</f>
        <v/>
      </c>
      <c r="F9" s="31" t="inlineStr">
        <is>
          <t>Lán trại vùng cao Hà Giang</t>
        </is>
      </c>
    </row>
    <row r="10" ht="22" customHeight="1">
      <c r="A10" s="31" t="inlineStr"/>
      <c r="B10" s="32" t="inlineStr">
        <is>
          <t xml:space="preserve">  - Chi phí một số công việc không xác định được KL từ TK</t>
        </is>
      </c>
      <c r="C10" s="30" t="inlineStr">
        <is>
          <t>1,00% x T</t>
        </is>
      </c>
      <c r="D10" s="31" t="inlineStr">
        <is>
          <t>T_kxd</t>
        </is>
      </c>
      <c r="E10" s="33">
        <f>E6*0.010</f>
        <v/>
      </c>
      <c r="F10" s="31" t="inlineStr">
        <is>
          <t>Thí nghiệm, an toàn giao thông</t>
        </is>
      </c>
    </row>
    <row r="11" ht="22" customHeight="1">
      <c r="A11" s="17" t="inlineStr">
        <is>
          <t>3</t>
        </is>
      </c>
      <c r="B11" s="18" t="inlineStr">
        <is>
          <t>Thu nhập chịu thuế tính trước</t>
        </is>
      </c>
      <c r="C11" s="30" t="inlineStr">
        <is>
          <t>TL = (T + GT) x 5,50%</t>
        </is>
      </c>
      <c r="D11" s="17" t="inlineStr">
        <is>
          <t>TL</t>
        </is>
      </c>
      <c r="E11" s="21">
        <f>(E6+E7)*0.055</f>
        <v/>
      </c>
      <c r="F11" s="31" t="inlineStr">
        <is>
          <t>Thông tư 11/2021/TT-BXD</t>
        </is>
      </c>
    </row>
    <row r="12" ht="22" customHeight="1">
      <c r="A12" s="17" t="inlineStr">
        <is>
          <t>4</t>
        </is>
      </c>
      <c r="B12" s="18" t="inlineStr">
        <is>
          <t>Chi phí xây dựng trước thuế</t>
        </is>
      </c>
      <c r="C12" s="30" t="inlineStr">
        <is>
          <t>G = T + GT + TL</t>
        </is>
      </c>
      <c r="D12" s="17" t="inlineStr">
        <is>
          <t>G</t>
        </is>
      </c>
      <c r="E12" s="21">
        <f>E6+E7+E11</f>
        <v/>
      </c>
      <c r="F12" s="31" t="inlineStr">
        <is>
          <t>Tổng chi phí chưa VAT</t>
        </is>
      </c>
    </row>
    <row r="13" ht="22" customHeight="1">
      <c r="A13" s="17" t="inlineStr">
        <is>
          <t>5</t>
        </is>
      </c>
      <c r="B13" s="18" t="inlineStr">
        <is>
          <t>Thuế giá trị gia tăng (VAT)</t>
        </is>
      </c>
      <c r="C13" s="30" t="inlineStr">
        <is>
          <t>VAT = G x 8,00%</t>
        </is>
      </c>
      <c r="D13" s="17" t="inlineStr">
        <is>
          <t>VAT</t>
        </is>
      </c>
      <c r="E13" s="21">
        <f>E12*0.08</f>
        <v/>
      </c>
      <c r="F13" s="31" t="inlineStr">
        <is>
          <t>Chính sách thuế hiện hành</t>
        </is>
      </c>
    </row>
    <row r="14" ht="22" customHeight="1">
      <c r="A14" s="34" t="inlineStr">
        <is>
          <t>6</t>
        </is>
      </c>
      <c r="B14" s="35" t="inlineStr">
        <is>
          <t>TỔNG CỘNG KINH PHÍ DỰ TOÁN XÂY DỰNG (G_XD)</t>
        </is>
      </c>
      <c r="C14" s="36" t="inlineStr">
        <is>
          <t>G_XD = G + VAT</t>
        </is>
      </c>
      <c r="D14" s="34" t="inlineStr">
        <is>
          <t>G_XD</t>
        </is>
      </c>
      <c r="E14" s="37">
        <f>E12+E13</f>
        <v/>
      </c>
      <c r="F14" s="38" t="inlineStr">
        <is>
          <t>Giá trị gói thầu hoàn chỉnh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</row>
    <row r="7" ht="24" customHeight="1">
      <c r="A7" s="16" t="inlineStr">
        <is>
          <t>I. CÔNG TÁC CỌC KHOAN NHỒI D1200MM &amp; THÍ NGHIỆM</t>
        </is>
      </c>
    </row>
    <row r="8" ht="20" customHeight="1">
      <c r="A8" s="5" t="inlineStr">
        <is>
          <t>1</t>
        </is>
      </c>
      <c r="B8" s="6" t="inlineStr">
        <is>
          <t>Khoan tạo lỗ cọc khoan nhồi D1200mm vào đất và đá gốc (26 cọc)</t>
        </is>
      </c>
      <c r="C8" s="5" t="inlineStr">
        <is>
          <t>m</t>
        </is>
      </c>
      <c r="D8" s="8">
        <f>QS_DIEN_GIAI_CHI_TIET!J7</f>
        <v/>
      </c>
      <c r="E8" s="7">
        <f>QS_DIEN_GIAI_CHI_TIET!K7</f>
        <v/>
      </c>
      <c r="F8" s="7">
        <f>D8*E8</f>
        <v/>
      </c>
      <c r="G8" s="8" t="n">
        <v>0</v>
      </c>
      <c r="H8" s="8">
        <f>D8*1.0</f>
        <v/>
      </c>
      <c r="I8" s="8">
        <f>G8+H8</f>
        <v/>
      </c>
      <c r="J8" s="7">
        <f>I8*E8</f>
        <v/>
      </c>
      <c r="K8" s="61">
        <f>H8*E8</f>
        <v/>
      </c>
      <c r="L8" s="6" t="inlineStr">
        <is>
          <t>Nghiệm thu 100% 26 cọc</t>
        </is>
      </c>
    </row>
    <row r="9" ht="20" customHeight="1">
      <c r="A9" s="5" t="inlineStr">
        <is>
          <t>2</t>
        </is>
      </c>
      <c r="B9" s="6" t="inlineStr">
        <is>
          <t>Hạ và nhổ ống vách thép dẫn hướng D1300mm d=8mm</t>
        </is>
      </c>
      <c r="C9" s="5" t="inlineStr">
        <is>
          <t>m</t>
        </is>
      </c>
      <c r="D9" s="8">
        <f>QS_DIEN_GIAI_CHI_TIET!J13</f>
        <v/>
      </c>
      <c r="E9" s="7">
        <f>QS_DIEN_GIAI_CHI_TIET!K13</f>
        <v/>
      </c>
      <c r="F9" s="7">
        <f>D9*E9</f>
        <v/>
      </c>
      <c r="G9" s="8" t="n">
        <v>0</v>
      </c>
      <c r="H9" s="8">
        <f>D9*1.0</f>
        <v/>
      </c>
      <c r="I9" s="8">
        <f>G9+H9</f>
        <v/>
      </c>
      <c r="J9" s="7">
        <f>I9*E9</f>
        <v/>
      </c>
      <c r="K9" s="61">
        <f>H9*E9</f>
        <v/>
      </c>
      <c r="L9" s="6" t="inlineStr">
        <is>
          <t>Luân chuyển hoàn thành</t>
        </is>
      </c>
    </row>
    <row r="10" ht="20" customHeight="1">
      <c r="A10" s="5" t="inlineStr">
        <is>
          <t>3</t>
        </is>
      </c>
      <c r="B10" s="6" t="inlineStr">
        <is>
          <t>Bê tông cọc khoan nhồi C30/37 đổ bằng ống tremie</t>
        </is>
      </c>
      <c r="C10" s="5" t="inlineStr">
        <is>
          <t>m3</t>
        </is>
      </c>
      <c r="D10" s="8">
        <f>QS_DIEN_GIAI_CHI_TIET!J18</f>
        <v/>
      </c>
      <c r="E10" s="7">
        <f>QS_DIEN_GIAI_CHI_TIET!K18</f>
        <v/>
      </c>
      <c r="F10" s="7">
        <f>D10*E10</f>
        <v/>
      </c>
      <c r="G10" s="8" t="n">
        <v>0</v>
      </c>
      <c r="H10" s="8">
        <f>D10*1.0</f>
        <v/>
      </c>
      <c r="I10" s="8">
        <f>G10+H10</f>
        <v/>
      </c>
      <c r="J10" s="7">
        <f>I10*E10</f>
        <v/>
      </c>
      <c r="K10" s="61">
        <f>H10*E10</f>
        <v/>
      </c>
      <c r="L10" s="6" t="inlineStr">
        <is>
          <t>Đổ xong 1100.86 m3</t>
        </is>
      </c>
    </row>
    <row r="11" ht="20" customHeight="1">
      <c r="A11" s="5" t="inlineStr">
        <is>
          <t>4</t>
        </is>
      </c>
      <c r="B11" s="6" t="inlineStr">
        <is>
          <t>Cốt thép cọc khoan nhồi D1200mm (D25, D16, D10)</t>
        </is>
      </c>
      <c r="C11" s="5" t="inlineStr">
        <is>
          <t>Tấn</t>
        </is>
      </c>
      <c r="D11" s="8">
        <f>QS_DIEN_GIAI_CHI_TIET!J23</f>
        <v/>
      </c>
      <c r="E11" s="7">
        <f>QS_DIEN_GIAI_CHI_TIET!K23</f>
        <v/>
      </c>
      <c r="F11" s="7">
        <f>D11*E11</f>
        <v/>
      </c>
      <c r="G11" s="8" t="n">
        <v>0</v>
      </c>
      <c r="H11" s="8">
        <f>D11*1.0</f>
        <v/>
      </c>
      <c r="I11" s="8">
        <f>G11+H11</f>
        <v/>
      </c>
      <c r="J11" s="7">
        <f>I11*E11</f>
        <v/>
      </c>
      <c r="K11" s="61">
        <f>H11*E11</f>
        <v/>
      </c>
      <c r="L11" s="6" t="inlineStr">
        <is>
          <t>118.98 tấn</t>
        </is>
      </c>
    </row>
    <row r="12" ht="20" customHeight="1">
      <c r="A12" s="5" t="inlineStr">
        <is>
          <t>5</t>
        </is>
      </c>
      <c r="B12" s="6" t="inlineStr">
        <is>
          <t>Đập đầu 26 cọc khoan nhồi ngàm vào đài móng</t>
        </is>
      </c>
      <c r="C12" s="5" t="inlineStr">
        <is>
          <t>m3</t>
        </is>
      </c>
      <c r="D12" s="8">
        <f>QS_DIEN_GIAI_CHI_TIET!J28</f>
        <v/>
      </c>
      <c r="E12" s="7">
        <f>QS_DIEN_GIAI_CHI_TIET!K28</f>
        <v/>
      </c>
      <c r="F12" s="7">
        <f>D12*E12</f>
        <v/>
      </c>
      <c r="G12" s="8" t="n">
        <v>0</v>
      </c>
      <c r="H12" s="8">
        <f>D12*1.0</f>
        <v/>
      </c>
      <c r="I12" s="8">
        <f>G12+H12</f>
        <v/>
      </c>
      <c r="J12" s="7">
        <f>I12*E12</f>
        <v/>
      </c>
      <c r="K12" s="61">
        <f>H12*E12</f>
        <v/>
      </c>
      <c r="L12" s="6" t="inlineStr">
        <is>
          <t>Đập đầu cọc xong</t>
        </is>
      </c>
    </row>
    <row r="13" ht="20" customHeight="1">
      <c r="A13" s="5" t="inlineStr">
        <is>
          <t>6</t>
        </is>
      </c>
      <c r="B13" s="6" t="inlineStr">
        <is>
          <t>Gói thí nghiệm kiểm soát cọc (Siêu âm 156 MC, PDA 9434kN, lấy lõi)</t>
        </is>
      </c>
      <c r="C13" s="5" t="inlineStr">
        <is>
          <t>Gói</t>
        </is>
      </c>
      <c r="D13" s="8">
        <f>QS_DIEN_GIAI_CHI_TIET!J30</f>
        <v/>
      </c>
      <c r="E13" s="7">
        <f>QS_DIEN_GIAI_CHI_TIET!K30</f>
        <v/>
      </c>
      <c r="F13" s="7">
        <f>D13*E13</f>
        <v/>
      </c>
      <c r="G13" s="8" t="n">
        <v>0</v>
      </c>
      <c r="H13" s="8">
        <f>D13*1.0</f>
        <v/>
      </c>
      <c r="I13" s="8">
        <f>G13+H13</f>
        <v/>
      </c>
      <c r="J13" s="7">
        <f>I13*E13</f>
        <v/>
      </c>
      <c r="K13" s="61">
        <f>H13*E13</f>
        <v/>
      </c>
      <c r="L13" s="6" t="inlineStr">
        <is>
          <t>Đạt kết quả kiểm tra</t>
        </is>
      </c>
    </row>
    <row r="14" ht="24" customHeight="1">
      <c r="A14" s="16" t="inlineStr">
        <is>
          <t>II. KẾT CẤU PHẦN DƯỚI (BỆ, THÂN, XÀ MŨ M1, M2 &amp; T1, T2)</t>
        </is>
      </c>
    </row>
    <row r="15" ht="20" customHeight="1">
      <c r="A15" s="5" t="inlineStr">
        <is>
          <t>7</t>
        </is>
      </c>
      <c r="B15" s="6" t="inlineStr">
        <is>
          <t>Đào đất đá hố móng bệ mố M1, M2 và bệ trụ T1, T2</t>
        </is>
      </c>
      <c r="C15" s="5" t="inlineStr">
        <is>
          <t>m3</t>
        </is>
      </c>
      <c r="D15" s="8">
        <f>QS_DIEN_GIAI_CHI_TIET!J32</f>
        <v/>
      </c>
      <c r="E15" s="7">
        <f>QS_DIEN_GIAI_CHI_TIET!K32</f>
        <v/>
      </c>
      <c r="F15" s="7">
        <f>D15*E15</f>
        <v/>
      </c>
      <c r="G15" s="8" t="n">
        <v>0</v>
      </c>
      <c r="H15" s="8">
        <f>D15*1.0</f>
        <v/>
      </c>
      <c r="I15" s="8">
        <f>G15+H15</f>
        <v/>
      </c>
      <c r="J15" s="7">
        <f>I15*E15</f>
        <v/>
      </c>
      <c r="K15" s="61">
        <f>H15*E15</f>
        <v/>
      </c>
      <c r="L15" s="6" t="inlineStr">
        <is>
          <t>Nghiệm thu hố móng</t>
        </is>
      </c>
    </row>
    <row r="16" ht="20" customHeight="1">
      <c r="A16" s="5" t="inlineStr">
        <is>
          <t>8</t>
        </is>
      </c>
      <c r="B16" s="6" t="inlineStr">
        <is>
          <t>Bê tông lót đáy bệ móng mác C10 dày 10cm</t>
        </is>
      </c>
      <c r="C16" s="5" t="inlineStr">
        <is>
          <t>m3</t>
        </is>
      </c>
      <c r="D16" s="8">
        <f>QS_DIEN_GIAI_CHI_TIET!J34</f>
        <v/>
      </c>
      <c r="E16" s="7">
        <f>QS_DIEN_GIAI_CHI_TIET!K34</f>
        <v/>
      </c>
      <c r="F16" s="7">
        <f>D16*E16</f>
        <v/>
      </c>
      <c r="G16" s="8" t="n">
        <v>0</v>
      </c>
      <c r="H16" s="8">
        <f>D16*1.0</f>
        <v/>
      </c>
      <c r="I16" s="8">
        <f>G16+H16</f>
        <v/>
      </c>
      <c r="J16" s="7">
        <f>I16*E16</f>
        <v/>
      </c>
      <c r="K16" s="61">
        <f>H16*E16</f>
        <v/>
      </c>
      <c r="L16" s="6" t="inlineStr">
        <is>
          <t>Đổ xong 4 hố móng</t>
        </is>
      </c>
    </row>
    <row r="17" ht="20" customHeight="1">
      <c r="A17" s="5" t="inlineStr">
        <is>
          <t>9</t>
        </is>
      </c>
      <c r="B17" s="6" t="inlineStr">
        <is>
          <t>Bê tông bệ móng mố M1, M2 và bệ trụ T1, T2 mác C30</t>
        </is>
      </c>
      <c r="C17" s="5" t="inlineStr">
        <is>
          <t>m3</t>
        </is>
      </c>
      <c r="D17" s="8">
        <f>QS_DIEN_GIAI_CHI_TIET!J37</f>
        <v/>
      </c>
      <c r="E17" s="7">
        <f>QS_DIEN_GIAI_CHI_TIET!K37</f>
        <v/>
      </c>
      <c r="F17" s="7">
        <f>D17*E17</f>
        <v/>
      </c>
      <c r="G17" s="8" t="n">
        <v>0</v>
      </c>
      <c r="H17" s="8">
        <f>D17*1.0</f>
        <v/>
      </c>
      <c r="I17" s="8">
        <f>G17+H17</f>
        <v/>
      </c>
      <c r="J17" s="7">
        <f>I17*E17</f>
        <v/>
      </c>
      <c r="K17" s="61">
        <f>H17*E17</f>
        <v/>
      </c>
      <c r="L17" s="6" t="inlineStr">
        <is>
          <t>517.48 m3 đạt R28</t>
        </is>
      </c>
    </row>
    <row r="18" ht="20" customHeight="1">
      <c r="A18" s="5" t="inlineStr">
        <is>
          <t>10</t>
        </is>
      </c>
      <c r="B18" s="6" t="inlineStr">
        <is>
          <t>Bê tông thân mố chân dê M1 và mố chữ U M2 mác C30</t>
        </is>
      </c>
      <c r="C18" s="5" t="inlineStr">
        <is>
          <t>m3</t>
        </is>
      </c>
      <c r="D18" s="8">
        <f>QS_DIEN_GIAI_CHI_TIET!J42</f>
        <v/>
      </c>
      <c r="E18" s="7">
        <f>QS_DIEN_GIAI_CHI_TIET!K42</f>
        <v/>
      </c>
      <c r="F18" s="7">
        <f>D18*E18</f>
        <v/>
      </c>
      <c r="G18" s="8" t="n">
        <v>0</v>
      </c>
      <c r="H18" s="8">
        <f>D18*0.8</f>
        <v/>
      </c>
      <c r="I18" s="8">
        <f>G18+H18</f>
        <v/>
      </c>
      <c r="J18" s="7">
        <f>I18*E18</f>
        <v/>
      </c>
      <c r="K18" s="61">
        <f>H18*E18</f>
        <v/>
      </c>
      <c r="L18" s="6" t="inlineStr">
        <is>
          <t>Nghiệm thu đợt 1 thân mố</t>
        </is>
      </c>
    </row>
    <row r="19" ht="20" customHeight="1">
      <c r="A19" s="5" t="inlineStr">
        <is>
          <t>11</t>
        </is>
      </c>
      <c r="B19" s="6" t="inlineStr">
        <is>
          <t>Bê tông thân đặc trụ T1 và T2 mác C30 (H=14.5m &amp; 11.4m)</t>
        </is>
      </c>
      <c r="C19" s="5" t="inlineStr">
        <is>
          <t>m3</t>
        </is>
      </c>
      <c r="D19" s="8">
        <f>QS_DIEN_GIAI_CHI_TIET!J47</f>
        <v/>
      </c>
      <c r="E19" s="7">
        <f>QS_DIEN_GIAI_CHI_TIET!K47</f>
        <v/>
      </c>
      <c r="F19" s="7">
        <f>D19*E19</f>
        <v/>
      </c>
      <c r="G19" s="8" t="n">
        <v>0</v>
      </c>
      <c r="H19" s="8">
        <f>D19*0.75</f>
        <v/>
      </c>
      <c r="I19" s="8">
        <f>G19+H19</f>
        <v/>
      </c>
      <c r="J19" s="7">
        <f>I19*E19</f>
        <v/>
      </c>
      <c r="K19" s="61">
        <f>H19*E19</f>
        <v/>
      </c>
      <c r="L19" s="6" t="inlineStr">
        <is>
          <t>Đổ 3/4 chiều cao trụ</t>
        </is>
      </c>
    </row>
    <row r="20" ht="20" customHeight="1">
      <c r="A20" s="5" t="inlineStr">
        <is>
          <t>12</t>
        </is>
      </c>
      <c r="B20" s="6" t="inlineStr">
        <is>
          <t>Cốt thép mố và trụ (D&lt;=10, 10&lt;D&lt;=18, D&gt;18)</t>
        </is>
      </c>
      <c r="C20" s="5" t="inlineStr">
        <is>
          <t>Tấn</t>
        </is>
      </c>
      <c r="D20" s="8">
        <f>QS_DIEN_GIAI_CHI_TIET!J53</f>
        <v/>
      </c>
      <c r="E20" s="7">
        <f>QS_DIEN_GIAI_CHI_TIET!K53</f>
        <v/>
      </c>
      <c r="F20" s="7">
        <f>D20*E20</f>
        <v/>
      </c>
      <c r="G20" s="8" t="n">
        <v>0</v>
      </c>
      <c r="H20" s="8">
        <f>D20*0.8</f>
        <v/>
      </c>
      <c r="I20" s="8">
        <f>G20+H20</f>
        <v/>
      </c>
      <c r="J20" s="7">
        <f>I20*E20</f>
        <v/>
      </c>
      <c r="K20" s="61">
        <f>H20*E20</f>
        <v/>
      </c>
      <c r="L20" s="6" t="inlineStr">
        <is>
          <t>Lắp dựng nghiệm thu đợt 1</t>
        </is>
      </c>
    </row>
    <row r="21" ht="24" customHeight="1">
      <c r="A21" s="16" t="inlineStr">
        <is>
          <t>III. KẾT CẤU PHẦN TRÊN (ĐÚC DẦM SUPER-T L=38.2M TẠI BÃI ĐÚC)</t>
        </is>
      </c>
    </row>
    <row r="22" ht="20" customHeight="1">
      <c r="A22" s="5" t="inlineStr">
        <is>
          <t>13</t>
        </is>
      </c>
      <c r="B22" s="6" t="inlineStr">
        <is>
          <t>Bê tông dầm chủ Super-T L=38.2m mác cao C45/55</t>
        </is>
      </c>
      <c r="C22" s="5" t="inlineStr">
        <is>
          <t>m3</t>
        </is>
      </c>
      <c r="D22" s="8">
        <f>QS_DIEN_GIAI_CHI_TIET!J57</f>
        <v/>
      </c>
      <c r="E22" s="7">
        <f>QS_DIEN_GIAI_CHI_TIET!K57</f>
        <v/>
      </c>
      <c r="F22" s="7">
        <f>D22*E22</f>
        <v/>
      </c>
      <c r="G22" s="8" t="n">
        <v>0</v>
      </c>
      <c r="H22" s="8">
        <f>D22*0.6</f>
        <v/>
      </c>
      <c r="I22" s="8">
        <f>G22+H22</f>
        <v/>
      </c>
      <c r="J22" s="7">
        <f>I22*E22</f>
        <v/>
      </c>
      <c r="K22" s="61">
        <f>H22*E22</f>
        <v/>
      </c>
      <c r="L22" s="6" t="inlineStr">
        <is>
          <t>Đúc xong 9/15 phiến dầm</t>
        </is>
      </c>
    </row>
    <row r="23" ht="20" customHeight="1">
      <c r="A23" s="5" t="inlineStr">
        <is>
          <t>14</t>
        </is>
      </c>
      <c r="B23" s="6" t="inlineStr">
        <is>
          <t>Cáp dự ứng lực tao xoắn 15.2mm Grade 270 kéo căng</t>
        </is>
      </c>
      <c r="C23" s="5" t="inlineStr">
        <is>
          <t>Tấn</t>
        </is>
      </c>
      <c r="D23" s="8">
        <f>QS_DIEN_GIAI_CHI_TIET!J59</f>
        <v/>
      </c>
      <c r="E23" s="7">
        <f>QS_DIEN_GIAI_CHI_TIET!K59</f>
        <v/>
      </c>
      <c r="F23" s="7">
        <f>D23*E23</f>
        <v/>
      </c>
      <c r="G23" s="8" t="n">
        <v>0</v>
      </c>
      <c r="H23" s="8">
        <f>D23*0.6</f>
        <v/>
      </c>
      <c r="I23" s="8">
        <f>G23+H23</f>
        <v/>
      </c>
      <c r="J23" s="7">
        <f>I23*E23</f>
        <v/>
      </c>
      <c r="K23" s="61">
        <f>H23*E23</f>
        <v/>
      </c>
      <c r="L23" s="6" t="inlineStr">
        <is>
          <t>Căng kéo 9 phiến dầm</t>
        </is>
      </c>
    </row>
    <row r="24" ht="20" customHeight="1">
      <c r="A24" s="5" t="inlineStr">
        <is>
          <t>15</t>
        </is>
      </c>
      <c r="B24" s="6" t="inlineStr">
        <is>
          <t>Cốt thép thường dầm chủ Super-T (D10, D14, D16, D20)</t>
        </is>
      </c>
      <c r="C24" s="5" t="inlineStr">
        <is>
          <t>Tấn</t>
        </is>
      </c>
      <c r="D24" s="8">
        <f>QS_DIEN_GIAI_CHI_TIET!J61</f>
        <v/>
      </c>
      <c r="E24" s="7">
        <f>QS_DIEN_GIAI_CHI_TIET!K61</f>
        <v/>
      </c>
      <c r="F24" s="7">
        <f>D24*E24</f>
        <v/>
      </c>
      <c r="G24" s="8" t="n">
        <v>0</v>
      </c>
      <c r="H24" s="8">
        <f>D24*0.6</f>
        <v/>
      </c>
      <c r="I24" s="8">
        <f>G24+H24</f>
        <v/>
      </c>
      <c r="J24" s="7">
        <f>I24*E24</f>
        <v/>
      </c>
      <c r="K24" s="61">
        <f>H24*E24</f>
        <v/>
      </c>
      <c r="L24" s="6" t="inlineStr">
        <is>
          <t>9 phiến dầm</t>
        </is>
      </c>
    </row>
    <row r="25" ht="20" customHeight="1">
      <c r="A25" s="5" t="inlineStr">
        <is>
          <t>16</t>
        </is>
      </c>
      <c r="B25" s="6" t="inlineStr">
        <is>
          <t>Vận chuyển và lao lắp 15 phiến dầm Super-T (chưa thi công)</t>
        </is>
      </c>
      <c r="C25" s="5" t="inlineStr">
        <is>
          <t>Phiến</t>
        </is>
      </c>
      <c r="D25" s="8">
        <f>QS_DIEN_GIAI_CHI_TIET!J63</f>
        <v/>
      </c>
      <c r="E25" s="7">
        <f>QS_DIEN_GIAI_CHI_TIET!K63</f>
        <v/>
      </c>
      <c r="F25" s="7">
        <f>D25*E25</f>
        <v/>
      </c>
      <c r="G25" s="8" t="n">
        <v>0</v>
      </c>
      <c r="H25" s="8">
        <f>D25*0.0</f>
        <v/>
      </c>
      <c r="I25" s="8">
        <f>G25+H25</f>
        <v/>
      </c>
      <c r="J25" s="7">
        <f>I25*E25</f>
        <v/>
      </c>
      <c r="K25" s="61">
        <f>H25*E25</f>
        <v/>
      </c>
      <c r="L25" s="6" t="inlineStr">
        <is>
          <t>Kỳ sau thực hiện</t>
        </is>
      </c>
    </row>
    <row r="26" ht="20" customHeight="1">
      <c r="A26" s="5" t="inlineStr">
        <is>
          <t>17</t>
        </is>
      </c>
      <c r="B26" s="6" t="inlineStr">
        <is>
          <t>Gối chậu cao su di động đơn hướng và song hướng</t>
        </is>
      </c>
      <c r="C26" s="5" t="inlineStr">
        <is>
          <t>Cái</t>
        </is>
      </c>
      <c r="D26" s="8">
        <f>QS_DIEN_GIAI_CHI_TIET!J65</f>
        <v/>
      </c>
      <c r="E26" s="7">
        <f>QS_DIEN_GIAI_CHI_TIET!K65</f>
        <v/>
      </c>
      <c r="F26" s="7">
        <f>D26*E26</f>
        <v/>
      </c>
      <c r="G26" s="8" t="n">
        <v>0</v>
      </c>
      <c r="H26" s="8">
        <f>D26*0.0</f>
        <v/>
      </c>
      <c r="I26" s="8">
        <f>G26+H26</f>
        <v/>
      </c>
      <c r="J26" s="7">
        <f>I26*E26</f>
        <v/>
      </c>
      <c r="K26" s="61">
        <f>H26*E26</f>
        <v/>
      </c>
      <c r="L26" s="6" t="inlineStr">
        <is>
          <t>Kỳ sau thực hiện</t>
        </is>
      </c>
    </row>
    <row r="27" ht="20" customHeight="1">
      <c r="A27" s="5" t="inlineStr">
        <is>
          <t>18</t>
        </is>
      </c>
      <c r="B27" s="6" t="inlineStr">
        <is>
          <t>Bản mặt cầu C35 và mối nối liên tục nhiệt</t>
        </is>
      </c>
      <c r="C27" s="5" t="inlineStr">
        <is>
          <t>m3</t>
        </is>
      </c>
      <c r="D27" s="8">
        <f>QS_DIEN_GIAI_CHI_TIET!J74</f>
        <v/>
      </c>
      <c r="E27" s="7">
        <f>QS_DIEN_GIAI_CHI_TIET!K74</f>
        <v/>
      </c>
      <c r="F27" s="7">
        <f>D27*E27</f>
        <v/>
      </c>
      <c r="G27" s="8" t="n">
        <v>0</v>
      </c>
      <c r="H27" s="8">
        <f>D27*0.0</f>
        <v/>
      </c>
      <c r="I27" s="8">
        <f>G27+H27</f>
        <v/>
      </c>
      <c r="J27" s="7">
        <f>I27*E27</f>
        <v/>
      </c>
      <c r="K27" s="61">
        <f>H27*E27</f>
        <v/>
      </c>
      <c r="L27" s="6" t="inlineStr">
        <is>
          <t>Kỳ sau thực hiện</t>
        </is>
      </c>
    </row>
    <row r="28" ht="24" customHeight="1">
      <c r="A28" s="12" t="inlineStr">
        <is>
          <t>TỔNG CỘNG CHI PHÍ XÂY LẮP (VNĐ)</t>
        </is>
      </c>
      <c r="B28" s="47" t="n"/>
      <c r="C28" s="48" t="n"/>
      <c r="D28" s="13" t="n"/>
      <c r="E28" s="13" t="n"/>
      <c r="F28" s="29">
        <f>SUM(F8:F27)</f>
        <v/>
      </c>
      <c r="G28" s="13" t="n"/>
      <c r="H28" s="13" t="n"/>
      <c r="I28" s="13" t="n"/>
      <c r="J28" s="29">
        <f>SUM(J8:J27)</f>
        <v/>
      </c>
      <c r="K28" s="29">
        <f>SUM(K8:K27)</f>
        <v/>
      </c>
      <c r="L28" s="13" t="n"/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31" t="inlineStr">
        <is>
          <t>1</t>
        </is>
      </c>
      <c r="C31" s="18" t="inlineStr">
        <is>
          <t>Giá trị khối lượng công việc hoàn thành đề nghị thanh toán kỳ này</t>
        </is>
      </c>
      <c r="D31" s="19" t="n"/>
      <c r="E31" s="19" t="n"/>
      <c r="F31" s="21">
        <f>K28</f>
        <v/>
      </c>
      <c r="G31" s="31" t="inlineStr">
        <is>
          <t>VNĐ</t>
        </is>
      </c>
    </row>
    <row r="32" ht="22" customHeight="1">
      <c r="B32" s="31" t="inlineStr">
        <is>
          <t>2</t>
        </is>
      </c>
      <c r="C32" s="6" t="inlineStr">
        <is>
          <t>Thu hồi số tiền tạm ứng hợp đồng kỳ này (Khấu trừ 20% giá trị hoàn thành)</t>
        </is>
      </c>
      <c r="D32" s="19" t="n"/>
      <c r="E32" s="19" t="n"/>
      <c r="F32" s="7">
        <f>C32*0.20</f>
        <v/>
      </c>
      <c r="G32" s="31" t="inlineStr">
        <is>
          <t>VNĐ</t>
        </is>
      </c>
    </row>
    <row r="33" ht="22" customHeight="1">
      <c r="B33" s="31" t="inlineStr">
        <is>
          <t>3</t>
        </is>
      </c>
      <c r="C33" s="6" t="inlineStr">
        <is>
          <t>Số tiền giữ lại bảo hành công trình (5% giá trị hoàn thành)</t>
        </is>
      </c>
      <c r="D33" s="19" t="n"/>
      <c r="E33" s="19" t="n"/>
      <c r="F33" s="7">
        <f>C32*0.05</f>
        <v/>
      </c>
      <c r="G33" s="31" t="inlineStr">
        <is>
          <t>VNĐ</t>
        </is>
      </c>
    </row>
    <row r="34" ht="22" customHeight="1">
      <c r="B34" s="38" t="inlineStr">
        <is>
          <t>4</t>
        </is>
      </c>
      <c r="C34" s="62" t="inlineStr">
        <is>
          <t>SỐ TIỀN THỰC ĐỀ NGHỊ KHO BẠC NHÀ NƯỚC CHUYỂN KỲ NÀY (4 = 1 - 2 - 3)</t>
        </is>
      </c>
      <c r="D34" s="13" t="n"/>
      <c r="E34" s="13" t="n"/>
      <c r="F34" s="37">
        <f>C32-C33-C34</f>
        <v/>
      </c>
      <c r="G34" s="38" t="inlineStr">
        <is>
          <t>VNĐ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J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3" customWidth="1" min="9" max="9"/>
    <col width="13" customWidth="1" min="10" max="10"/>
    <col width="15" customWidth="1" min="11" max="11"/>
    <col width="1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KẾ HOẠCH TIẾN ĐỘ WBS, ĐIỀU PHỐI NHÂN CÔNG &amp; BIỂU ĐỒ GANTT CPM - CẦU KM19+529.080</t>
        </is>
      </c>
    </row>
    <row r="4">
      <c r="B4" s="3" t="inlineStr">
        <is>
          <t>Định mức ngày công TT 12/2021/TT-BXD, Luật Xây dựng số 135/2025/QH15 &amp; NĐ 207/2026/NĐ-CP (Cột đỏ: Đường găng CPM)</t>
        </is>
      </c>
    </row>
    <row r="5" ht="20" customHeight="1">
      <c r="A5" s="4" t="inlineStr">
        <is>
          <t>Mã WBS</t>
        </is>
      </c>
      <c r="B5" s="4" t="inlineStr">
        <is>
          <t>Danh mục công tác thi công</t>
        </is>
      </c>
      <c r="C5" s="4" t="inlineStr">
        <is>
          <t>Khối lượng</t>
        </is>
      </c>
      <c r="D5" s="4" t="inlineStr">
        <is>
          <t>ĐVT</t>
        </is>
      </c>
      <c r="E5" s="4" t="inlineStr">
        <is>
          <t>Định mức
(công/ĐVT)</t>
        </is>
      </c>
      <c r="F5" s="4" t="inlineStr">
        <is>
          <t>Tổng công
(công)</t>
        </is>
      </c>
      <c r="G5" s="4" t="inlineStr">
        <is>
          <t>Tổ đội
(người)</t>
        </is>
      </c>
      <c r="H5" s="4" t="inlineStr">
        <is>
          <t>Thời gian
Duration (ngày)</t>
        </is>
      </c>
      <c r="I5" s="4" t="inlineStr">
        <is>
          <t>Ngày bắt đầu
Start</t>
        </is>
      </c>
      <c r="J5" s="4" t="inlineStr">
        <is>
          <t>Ngày hoàn thành
Finish</t>
        </is>
      </c>
      <c r="K5" s="4" t="inlineStr">
        <is>
          <t>Quan hệ logic
Predecessors</t>
        </is>
      </c>
      <c r="L5" s="4" t="inlineStr">
        <is>
          <t>Đường găng
CPM</t>
        </is>
      </c>
      <c r="M5" s="39" t="inlineStr">
        <is>
          <t>Tháng 10/2026</t>
        </is>
      </c>
      <c r="N5" s="49" t="n"/>
      <c r="O5" s="49" t="n"/>
      <c r="P5" s="50" t="n"/>
      <c r="Q5" s="39" t="inlineStr">
        <is>
          <t>Tháng 11/2026</t>
        </is>
      </c>
      <c r="R5" s="49" t="n"/>
      <c r="S5" s="49" t="n"/>
      <c r="T5" s="50" t="n"/>
      <c r="U5" s="39" t="inlineStr">
        <is>
          <t>Tháng 12/2026</t>
        </is>
      </c>
      <c r="V5" s="49" t="n"/>
      <c r="W5" s="49" t="n"/>
      <c r="X5" s="50" t="n"/>
      <c r="Y5" s="39" t="inlineStr">
        <is>
          <t>Tháng 01/2027</t>
        </is>
      </c>
      <c r="Z5" s="49" t="n"/>
      <c r="AA5" s="49" t="n"/>
      <c r="AB5" s="50" t="n"/>
      <c r="AC5" s="39" t="inlineStr">
        <is>
          <t>Tháng 02/2027</t>
        </is>
      </c>
      <c r="AD5" s="49" t="n"/>
      <c r="AE5" s="49" t="n"/>
      <c r="AF5" s="50" t="n"/>
      <c r="AG5" s="39" t="inlineStr">
        <is>
          <t>Tháng 03/2027</t>
        </is>
      </c>
      <c r="AH5" s="49" t="n"/>
      <c r="AI5" s="49" t="n"/>
      <c r="AJ5" s="50" t="n"/>
    </row>
    <row r="6" ht="18" customHeight="1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40" t="inlineStr">
        <is>
          <t>T1</t>
        </is>
      </c>
      <c r="N6" s="40" t="inlineStr">
        <is>
          <t>T2</t>
        </is>
      </c>
      <c r="O6" s="40" t="inlineStr">
        <is>
          <t>T3</t>
        </is>
      </c>
      <c r="P6" s="40" t="inlineStr">
        <is>
          <t>T4</t>
        </is>
      </c>
      <c r="Q6" s="40" t="inlineStr">
        <is>
          <t>T1</t>
        </is>
      </c>
      <c r="R6" s="40" t="inlineStr">
        <is>
          <t>T2</t>
        </is>
      </c>
      <c r="S6" s="40" t="inlineStr">
        <is>
          <t>T3</t>
        </is>
      </c>
      <c r="T6" s="40" t="inlineStr">
        <is>
          <t>T4</t>
        </is>
      </c>
      <c r="U6" s="40" t="inlineStr">
        <is>
          <t>T1</t>
        </is>
      </c>
      <c r="V6" s="40" t="inlineStr">
        <is>
          <t>T2</t>
        </is>
      </c>
      <c r="W6" s="40" t="inlineStr">
        <is>
          <t>T3</t>
        </is>
      </c>
      <c r="X6" s="40" t="inlineStr">
        <is>
          <t>T4</t>
        </is>
      </c>
      <c r="Y6" s="40" t="inlineStr">
        <is>
          <t>T1</t>
        </is>
      </c>
      <c r="Z6" s="40" t="inlineStr">
        <is>
          <t>T2</t>
        </is>
      </c>
      <c r="AA6" s="40" t="inlineStr">
        <is>
          <t>T3</t>
        </is>
      </c>
      <c r="AB6" s="40" t="inlineStr">
        <is>
          <t>T4</t>
        </is>
      </c>
      <c r="AC6" s="40" t="inlineStr">
        <is>
          <t>T1</t>
        </is>
      </c>
      <c r="AD6" s="40" t="inlineStr">
        <is>
          <t>T2</t>
        </is>
      </c>
      <c r="AE6" s="40" t="inlineStr">
        <is>
          <t>T3</t>
        </is>
      </c>
      <c r="AF6" s="40" t="inlineStr">
        <is>
          <t>T4</t>
        </is>
      </c>
      <c r="AG6" s="40" t="inlineStr">
        <is>
          <t>T1</t>
        </is>
      </c>
      <c r="AH6" s="40" t="inlineStr">
        <is>
          <t>T2</t>
        </is>
      </c>
      <c r="AI6" s="40" t="inlineStr">
        <is>
          <t>T3</t>
        </is>
      </c>
      <c r="AJ6" s="40" t="inlineStr">
        <is>
          <t>T4</t>
        </is>
      </c>
    </row>
    <row r="7" ht="24" customHeight="1">
      <c r="A7" s="16" t="inlineStr">
        <is>
          <t>1.0</t>
        </is>
      </c>
      <c r="M7" s="41" t="n"/>
      <c r="N7" s="41" t="n"/>
      <c r="O7" s="41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</row>
    <row r="8" ht="20" customHeight="1">
      <c r="A8" s="17" t="inlineStr">
        <is>
          <t>1.1</t>
        </is>
      </c>
      <c r="B8" s="6" t="inlineStr">
        <is>
          <t>Bàn giao tim mốc VN2000, cao độ quốc gia Hòn Dấu &amp; tim mốc cầu</t>
        </is>
      </c>
      <c r="C8" s="42" t="n">
        <v>1</v>
      </c>
      <c r="D8" s="31" t="inlineStr">
        <is>
          <t>Điểm</t>
        </is>
      </c>
      <c r="E8" s="42" t="n">
        <v>12</v>
      </c>
      <c r="F8" s="43">
        <f>C8*E8</f>
        <v/>
      </c>
      <c r="G8" s="31" t="n">
        <v>6</v>
      </c>
      <c r="H8" s="17">
        <f>ROUNDUP(F8/G8, 0)</f>
        <v/>
      </c>
      <c r="I8" s="31" t="inlineStr">
        <is>
          <t>2026-10-01</t>
        </is>
      </c>
      <c r="J8" s="31" t="inlineStr">
        <is>
          <t>2026-10-02</t>
        </is>
      </c>
      <c r="K8" s="31" t="inlineStr">
        <is>
          <t>-</t>
        </is>
      </c>
      <c r="L8" s="44" t="inlineStr">
        <is>
          <t>YES</t>
        </is>
      </c>
      <c r="M8" s="45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</row>
    <row r="9" ht="20" customHeight="1">
      <c r="A9" s="17" t="inlineStr">
        <is>
          <t>1.2</t>
        </is>
      </c>
      <c r="B9" s="6" t="inlineStr">
        <is>
          <t>Rà phá bom mìn, dọn dẹp mặt bằng thi công &amp; dựng lán trại</t>
        </is>
      </c>
      <c r="C9" s="42" t="n">
        <v>12500</v>
      </c>
      <c r="D9" s="31" t="inlineStr">
        <is>
          <t>m2</t>
        </is>
      </c>
      <c r="E9" s="42" t="n">
        <v>0.02</v>
      </c>
      <c r="F9" s="43">
        <f>C9*E9</f>
        <v/>
      </c>
      <c r="G9" s="31" t="n">
        <v>10</v>
      </c>
      <c r="H9" s="17">
        <f>ROUNDUP(F9/G9, 0)</f>
        <v/>
      </c>
      <c r="I9" s="31" t="inlineStr">
        <is>
          <t>2026-10-03</t>
        </is>
      </c>
      <c r="J9" s="31" t="inlineStr">
        <is>
          <t>2026-10-08</t>
        </is>
      </c>
      <c r="K9" s="31" t="inlineStr">
        <is>
          <t>1.1FS</t>
        </is>
      </c>
      <c r="L9" s="44" t="inlineStr">
        <is>
          <t>YES</t>
        </is>
      </c>
      <c r="M9" s="45" t="n"/>
      <c r="N9" s="45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</row>
    <row r="10" ht="20" customHeight="1">
      <c r="A10" s="17" t="inlineStr">
        <is>
          <t>1.3</t>
        </is>
      </c>
      <c r="B10" s="6" t="inlineStr">
        <is>
          <t>Thi công đường công vụ nhánh 6 &amp; nhánh 6A tiếp cận mố trụ</t>
        </is>
      </c>
      <c r="C10" s="42">
        <f>KHOI_LUONG_DAO_DAP!F19</f>
        <v/>
      </c>
      <c r="D10" s="31" t="inlineStr">
        <is>
          <t>m3</t>
        </is>
      </c>
      <c r="E10" s="42" t="n">
        <v>0.08</v>
      </c>
      <c r="F10" s="43">
        <f>C10*E10</f>
        <v/>
      </c>
      <c r="G10" s="31" t="n">
        <v>12</v>
      </c>
      <c r="H10" s="17">
        <f>ROUNDUP(F10/G10, 0)</f>
        <v/>
      </c>
      <c r="I10" s="31" t="inlineStr">
        <is>
          <t>2026-10-09</t>
        </is>
      </c>
      <c r="J10" s="31" t="inlineStr">
        <is>
          <t>2026-10-18</t>
        </is>
      </c>
      <c r="K10" s="31" t="inlineStr">
        <is>
          <t>1.2FS</t>
        </is>
      </c>
      <c r="L10" s="44" t="inlineStr">
        <is>
          <t>YES</t>
        </is>
      </c>
      <c r="M10" s="19" t="n"/>
      <c r="N10" s="45" t="n"/>
      <c r="O10" s="45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</row>
    <row r="11" ht="20" customHeight="1">
      <c r="A11" s="17" t="inlineStr">
        <is>
          <t>1.4</t>
        </is>
      </c>
      <c r="B11" s="6" t="inlineStr">
        <is>
          <t>Xây dựng bãi đúc dầm Super-T, bệ đúc cáp căng &amp; trạm trộn BTXM</t>
        </is>
      </c>
      <c r="C11" s="42" t="n">
        <v>1</v>
      </c>
      <c r="D11" s="31" t="inlineStr">
        <is>
          <t>Hệ</t>
        </is>
      </c>
      <c r="E11" s="42" t="n">
        <v>180</v>
      </c>
      <c r="F11" s="43">
        <f>C11*E11</f>
        <v/>
      </c>
      <c r="G11" s="31" t="n">
        <v>15</v>
      </c>
      <c r="H11" s="17">
        <f>ROUNDUP(F11/G11, 0)</f>
        <v/>
      </c>
      <c r="I11" s="31" t="inlineStr">
        <is>
          <t>2026-10-12</t>
        </is>
      </c>
      <c r="J11" s="31" t="inlineStr">
        <is>
          <t>2026-10-24</t>
        </is>
      </c>
      <c r="K11" s="31" t="inlineStr">
        <is>
          <t>1.3SS+3d</t>
        </is>
      </c>
      <c r="L11" s="31" t="inlineStr">
        <is>
          <t>NO</t>
        </is>
      </c>
      <c r="M11" s="19" t="n"/>
      <c r="N11" s="46" t="n"/>
      <c r="O11" s="46" t="n"/>
      <c r="P11" s="46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</row>
    <row r="12" ht="24" customHeight="1">
      <c r="A12" s="16" t="inlineStr">
        <is>
          <t>2.0</t>
        </is>
      </c>
      <c r="M12" s="19" t="n"/>
      <c r="N12" s="19" t="n"/>
      <c r="O12" s="41" t="n"/>
      <c r="P12" s="41" t="n"/>
      <c r="Q12" s="41" t="n"/>
      <c r="R12" s="41" t="n"/>
      <c r="S12" s="41" t="n"/>
      <c r="T12" s="41" t="n"/>
      <c r="U12" s="41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</row>
    <row r="13" ht="20" customHeight="1">
      <c r="A13" s="17" t="inlineStr">
        <is>
          <t>2.1</t>
        </is>
      </c>
      <c r="B13" s="6" t="inlineStr">
        <is>
          <t>Khoan thăm dò hang Karst sâu 5m vào đá liền khối dưới mũi cọc</t>
        </is>
      </c>
      <c r="C13" s="42" t="n">
        <v>26</v>
      </c>
      <c r="D13" s="31" t="inlineStr">
        <is>
          <t>Lỗ</t>
        </is>
      </c>
      <c r="E13" s="42" t="n">
        <v>12</v>
      </c>
      <c r="F13" s="43">
        <f>C13*E13</f>
        <v/>
      </c>
      <c r="G13" s="31" t="n">
        <v>8</v>
      </c>
      <c r="H13" s="17">
        <f>ROUNDUP(F13/G13, 0)</f>
        <v/>
      </c>
      <c r="I13" s="31" t="inlineStr">
        <is>
          <t>2026-10-25</t>
        </is>
      </c>
      <c r="J13" s="31" t="inlineStr">
        <is>
          <t>2026-11-05</t>
        </is>
      </c>
      <c r="K13" s="31" t="inlineStr">
        <is>
          <t>1.3FS</t>
        </is>
      </c>
      <c r="L13" s="44" t="inlineStr">
        <is>
          <t>YES</t>
        </is>
      </c>
      <c r="M13" s="19" t="n"/>
      <c r="N13" s="19" t="n"/>
      <c r="O13" s="45" t="n"/>
      <c r="P13" s="45" t="n"/>
      <c r="Q13" s="45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</row>
    <row r="14" ht="20" customHeight="1">
      <c r="A14" s="17" t="inlineStr">
        <is>
          <t>2.2</t>
        </is>
      </c>
      <c r="B14" s="6" t="inlineStr">
        <is>
          <t>Khoan cọc nhồi D1200mm M1 (3 cọc L=20m) &amp; đổ bê tông C30</t>
        </is>
      </c>
      <c r="C14" s="42">
        <f>QS_DIEN_GIAI_CHI_TIET!J8</f>
        <v/>
      </c>
      <c r="D14" s="31" t="inlineStr">
        <is>
          <t>m</t>
        </is>
      </c>
      <c r="E14" s="42" t="n">
        <v>0.75</v>
      </c>
      <c r="F14" s="43">
        <f>C14*E14</f>
        <v/>
      </c>
      <c r="G14" s="31" t="n">
        <v>10</v>
      </c>
      <c r="H14" s="17">
        <f>ROUNDUP(F14/G14, 0)</f>
        <v/>
      </c>
      <c r="I14" s="31" t="inlineStr">
        <is>
          <t>2026-11-06</t>
        </is>
      </c>
      <c r="J14" s="31" t="inlineStr">
        <is>
          <t>2026-11-12</t>
        </is>
      </c>
      <c r="K14" s="31" t="inlineStr">
        <is>
          <t>2.1FS</t>
        </is>
      </c>
      <c r="L14" s="44" t="inlineStr">
        <is>
          <t>YES</t>
        </is>
      </c>
      <c r="M14" s="19" t="n"/>
      <c r="N14" s="19" t="n"/>
      <c r="O14" s="19" t="n"/>
      <c r="P14" s="19" t="n"/>
      <c r="Q14" s="45" t="n"/>
      <c r="R14" s="45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</row>
    <row r="15" ht="20" customHeight="1">
      <c r="A15" s="17" t="inlineStr">
        <is>
          <t>2.3</t>
        </is>
      </c>
      <c r="B15" s="6" t="inlineStr">
        <is>
          <t>Khoan cọc nhồi D1200mm Trụ T1 (8 cọc L=40m) &amp; đổ bê tông C30</t>
        </is>
      </c>
      <c r="C15" s="42">
        <f>QS_DIEN_GIAI_CHI_TIET!J9</f>
        <v/>
      </c>
      <c r="D15" s="31" t="inlineStr">
        <is>
          <t>m</t>
        </is>
      </c>
      <c r="E15" s="42" t="n">
        <v>0.75</v>
      </c>
      <c r="F15" s="43">
        <f>C15*E15</f>
        <v/>
      </c>
      <c r="G15" s="31" t="n">
        <v>16</v>
      </c>
      <c r="H15" s="17">
        <f>ROUNDUP(F15/G15, 0)</f>
        <v/>
      </c>
      <c r="I15" s="31" t="inlineStr">
        <is>
          <t>2026-11-10</t>
        </is>
      </c>
      <c r="J15" s="31" t="inlineStr">
        <is>
          <t>2026-11-28</t>
        </is>
      </c>
      <c r="K15" s="31" t="inlineStr">
        <is>
          <t>2.2SS+4d</t>
        </is>
      </c>
      <c r="L15" s="44" t="inlineStr">
        <is>
          <t>YES</t>
        </is>
      </c>
      <c r="M15" s="19" t="n"/>
      <c r="N15" s="19" t="n"/>
      <c r="O15" s="19" t="n"/>
      <c r="P15" s="19" t="n"/>
      <c r="Q15" s="19" t="n"/>
      <c r="R15" s="45" t="n"/>
      <c r="S15" s="45" t="n"/>
      <c r="T15" s="45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</row>
    <row r="16" ht="20" customHeight="1">
      <c r="A16" s="17" t="inlineStr">
        <is>
          <t>2.4</t>
        </is>
      </c>
      <c r="B16" s="6" t="inlineStr">
        <is>
          <t>Khoan cọc nhồi D1200mm Trụ T2 (8 cọc L=30m) &amp; đổ bê tông C30</t>
        </is>
      </c>
      <c r="C16" s="42">
        <f>QS_DIEN_GIAI_CHI_TIET!J10</f>
        <v/>
      </c>
      <c r="D16" s="31" t="inlineStr">
        <is>
          <t>m</t>
        </is>
      </c>
      <c r="E16" s="42" t="n">
        <v>0.75</v>
      </c>
      <c r="F16" s="43">
        <f>C16*E16</f>
        <v/>
      </c>
      <c r="G16" s="31" t="n">
        <v>14</v>
      </c>
      <c r="H16" s="17">
        <f>ROUNDUP(F16/G16, 0)</f>
        <v/>
      </c>
      <c r="I16" s="31" t="inlineStr">
        <is>
          <t>2026-11-18</t>
        </is>
      </c>
      <c r="J16" s="31" t="inlineStr">
        <is>
          <t>2026-12-04</t>
        </is>
      </c>
      <c r="K16" s="31" t="inlineStr">
        <is>
          <t>2.3SS+8d</t>
        </is>
      </c>
      <c r="L16" s="44" t="inlineStr">
        <is>
          <t>YES</t>
        </is>
      </c>
      <c r="M16" s="19" t="n"/>
      <c r="N16" s="19" t="n"/>
      <c r="O16" s="19" t="n"/>
      <c r="P16" s="19" t="n"/>
      <c r="Q16" s="19" t="n"/>
      <c r="R16" s="19" t="n"/>
      <c r="S16" s="45" t="n"/>
      <c r="T16" s="45" t="n"/>
      <c r="U16" s="45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</row>
    <row r="17" ht="20" customHeight="1">
      <c r="A17" s="17" t="inlineStr">
        <is>
          <t>2.5</t>
        </is>
      </c>
      <c r="B17" s="6" t="inlineStr">
        <is>
          <t>Khoan cọc nhồi D1200mm M2 (7 cọc L=36m) &amp; đổ bê tông C30</t>
        </is>
      </c>
      <c r="C17" s="42">
        <f>QS_DIEN_GIAI_CHI_TIET!J11</f>
        <v/>
      </c>
      <c r="D17" s="31" t="inlineStr">
        <is>
          <t>m</t>
        </is>
      </c>
      <c r="E17" s="42" t="n">
        <v>0.75</v>
      </c>
      <c r="F17" s="43">
        <f>C17*E17</f>
        <v/>
      </c>
      <c r="G17" s="31" t="n">
        <v>14</v>
      </c>
      <c r="H17" s="17">
        <f>ROUNDUP(F17/G17, 0)</f>
        <v/>
      </c>
      <c r="I17" s="31" t="inlineStr">
        <is>
          <t>2026-11-25</t>
        </is>
      </c>
      <c r="J17" s="31" t="inlineStr">
        <is>
          <t>2026-12-12</t>
        </is>
      </c>
      <c r="K17" s="31" t="inlineStr">
        <is>
          <t>2.4SS+7d</t>
        </is>
      </c>
      <c r="L17" s="31" t="inlineStr">
        <is>
          <t>NO</t>
        </is>
      </c>
      <c r="M17" s="19" t="n"/>
      <c r="N17" s="19" t="n"/>
      <c r="O17" s="19" t="n"/>
      <c r="P17" s="19" t="n"/>
      <c r="Q17" s="19" t="n"/>
      <c r="R17" s="19" t="n"/>
      <c r="S17" s="19" t="n"/>
      <c r="T17" s="46" t="n"/>
      <c r="U17" s="46" t="n"/>
      <c r="V17" s="46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</row>
    <row r="18" ht="20" customHeight="1">
      <c r="A18" s="17" t="inlineStr">
        <is>
          <t>2.6</t>
        </is>
      </c>
      <c r="B18" s="6" t="inlineStr">
        <is>
          <t>Thí nghiệm siêu âm 156 mặt cắt, khoan kiểm tra mũi cọc &amp; thử tải PDA</t>
        </is>
      </c>
      <c r="C18" s="42" t="n">
        <v>1</v>
      </c>
      <c r="D18" s="31" t="inlineStr">
        <is>
          <t>Gói</t>
        </is>
      </c>
      <c r="E18" s="42" t="n">
        <v>48</v>
      </c>
      <c r="F18" s="43">
        <f>C18*E18</f>
        <v/>
      </c>
      <c r="G18" s="31" t="n">
        <v>6</v>
      </c>
      <c r="H18" s="17">
        <f>ROUNDUP(F18/G18, 0)</f>
        <v/>
      </c>
      <c r="I18" s="31" t="inlineStr">
        <is>
          <t>2026-12-13</t>
        </is>
      </c>
      <c r="J18" s="31" t="inlineStr">
        <is>
          <t>2026-12-20</t>
        </is>
      </c>
      <c r="K18" s="31" t="inlineStr">
        <is>
          <t>2.4FS,2.5FS</t>
        </is>
      </c>
      <c r="L18" s="44" t="inlineStr">
        <is>
          <t>YES</t>
        </is>
      </c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45" t="n"/>
      <c r="W18" s="45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</row>
    <row r="19" ht="24" customHeight="1">
      <c r="A19" s="16" t="inlineStr">
        <is>
          <t>3.0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41" t="n"/>
      <c r="X19" s="41" t="n"/>
      <c r="Y19" s="41" t="n"/>
      <c r="Z19" s="41" t="n"/>
      <c r="AA19" s="41" t="n"/>
      <c r="AB19" s="41" t="n"/>
      <c r="AC19" s="19" t="n"/>
      <c r="AD19" s="19" t="n"/>
      <c r="AE19" s="19" t="n"/>
      <c r="AF19" s="19" t="n"/>
      <c r="AG19" s="19" t="n"/>
      <c r="AH19" s="19" t="n"/>
      <c r="AI19" s="19" t="n"/>
      <c r="AJ19" s="19" t="n"/>
    </row>
    <row r="20" ht="20" customHeight="1">
      <c r="A20" s="17" t="inlineStr">
        <is>
          <t>3.1</t>
        </is>
      </c>
      <c r="B20" s="6" t="inlineStr">
        <is>
          <t>Đào hố móng, đập đầu 26 cọc nhồi &amp; đổ bê tông lót đáy bệ mác C10</t>
        </is>
      </c>
      <c r="C20" s="42" t="n">
        <v>26</v>
      </c>
      <c r="D20" s="31" t="inlineStr">
        <is>
          <t>Cọc</t>
        </is>
      </c>
      <c r="E20" s="42" t="n">
        <v>2.5</v>
      </c>
      <c r="F20" s="43">
        <f>C20*E20</f>
        <v/>
      </c>
      <c r="G20" s="31" t="n">
        <v>10</v>
      </c>
      <c r="H20" s="17">
        <f>ROUNDUP(F20/G20, 0)</f>
        <v/>
      </c>
      <c r="I20" s="31" t="inlineStr">
        <is>
          <t>2026-12-21</t>
        </is>
      </c>
      <c r="J20" s="31" t="inlineStr">
        <is>
          <t>2026-12-27</t>
        </is>
      </c>
      <c r="K20" s="31" t="inlineStr">
        <is>
          <t>2.6FS</t>
        </is>
      </c>
      <c r="L20" s="44" t="inlineStr">
        <is>
          <t>YES</t>
        </is>
      </c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45" t="n"/>
      <c r="X20" s="45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</row>
    <row r="21" ht="20" customHeight="1">
      <c r="A21" s="17" t="inlineStr">
        <is>
          <t>3.2</t>
        </is>
      </c>
      <c r="B21" s="6" t="inlineStr">
        <is>
          <t>Gia công lắp dựng cốt thép, ván khuôn &amp; đổ bê tông bệ móng mố M1, M2</t>
        </is>
      </c>
      <c r="C21" s="42">
        <f>QS_DIEN_GIAI_CHI_TIET!J38</f>
        <v/>
      </c>
      <c r="D21" s="31" t="inlineStr">
        <is>
          <t>m3</t>
        </is>
      </c>
      <c r="E21" s="42" t="n">
        <v>0.45</v>
      </c>
      <c r="F21" s="43">
        <f>C21*E21</f>
        <v/>
      </c>
      <c r="G21" s="31" t="n">
        <v>16</v>
      </c>
      <c r="H21" s="17">
        <f>ROUNDUP(F21/G21, 0)</f>
        <v/>
      </c>
      <c r="I21" s="31" t="inlineStr">
        <is>
          <t>2026-12-28</t>
        </is>
      </c>
      <c r="J21" s="31" t="inlineStr">
        <is>
          <t>2027-01-04</t>
        </is>
      </c>
      <c r="K21" s="31" t="inlineStr">
        <is>
          <t>3.1FS</t>
        </is>
      </c>
      <c r="L21" s="44" t="inlineStr">
        <is>
          <t>YES</t>
        </is>
      </c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45" t="n"/>
      <c r="Y21" s="45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</row>
    <row r="22" ht="20" customHeight="1">
      <c r="A22" s="17" t="inlineStr">
        <is>
          <t>3.3</t>
        </is>
      </c>
      <c r="B22" s="6" t="inlineStr">
        <is>
          <t>Gia công lắp dựng cốt thép, ván khuôn &amp; đổ bê tông bệ trụ T1, T2</t>
        </is>
      </c>
      <c r="C22" s="42">
        <f>QS_DIEN_GIAI_CHI_TIET!J39</f>
        <v/>
      </c>
      <c r="D22" s="31" t="inlineStr">
        <is>
          <t>m3</t>
        </is>
      </c>
      <c r="E22" s="42" t="n">
        <v>0.42</v>
      </c>
      <c r="F22" s="43">
        <f>C22*E22</f>
        <v/>
      </c>
      <c r="G22" s="31" t="n">
        <v>18</v>
      </c>
      <c r="H22" s="17">
        <f>ROUNDUP(F22/G22, 0)</f>
        <v/>
      </c>
      <c r="I22" s="31" t="inlineStr">
        <is>
          <t>2026-12-30</t>
        </is>
      </c>
      <c r="J22" s="31" t="inlineStr">
        <is>
          <t>2027-01-08</t>
        </is>
      </c>
      <c r="K22" s="31" t="inlineStr">
        <is>
          <t>3.1FS+2d</t>
        </is>
      </c>
      <c r="L22" s="44" t="inlineStr">
        <is>
          <t>YES</t>
        </is>
      </c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45" t="n"/>
      <c r="Y22" s="45" t="n"/>
      <c r="Z22" s="45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</row>
    <row r="23" ht="20" customHeight="1">
      <c r="A23" s="17" t="inlineStr">
        <is>
          <t>3.4</t>
        </is>
      </c>
      <c r="B23" s="6" t="inlineStr">
        <is>
          <t>Thi công thân đặc trụ T1, T2 (H=14.5m &amp; 11.4m) bê tông C30</t>
        </is>
      </c>
      <c r="C23" s="42">
        <f>QS_DIEN_GIAI_CHI_TIET!J47</f>
        <v/>
      </c>
      <c r="D23" s="31" t="inlineStr">
        <is>
          <t>m3</t>
        </is>
      </c>
      <c r="E23" s="42" t="n">
        <v>0.55</v>
      </c>
      <c r="F23" s="43">
        <f>C23*E23</f>
        <v/>
      </c>
      <c r="G23" s="31" t="n">
        <v>18</v>
      </c>
      <c r="H23" s="17">
        <f>ROUNDUP(F23/G23, 0)</f>
        <v/>
      </c>
      <c r="I23" s="31" t="inlineStr">
        <is>
          <t>2027-01-09</t>
        </is>
      </c>
      <c r="J23" s="31" t="inlineStr">
        <is>
          <t>2027-01-22</t>
        </is>
      </c>
      <c r="K23" s="31" t="inlineStr">
        <is>
          <t>3.3FS</t>
        </is>
      </c>
      <c r="L23" s="44" t="inlineStr">
        <is>
          <t>YES</t>
        </is>
      </c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45" t="n"/>
      <c r="AA23" s="45" t="n"/>
      <c r="AB23" s="45" t="n"/>
      <c r="AC23" s="19" t="n"/>
      <c r="AD23" s="19" t="n"/>
      <c r="AE23" s="19" t="n"/>
      <c r="AF23" s="19" t="n"/>
      <c r="AG23" s="19" t="n"/>
      <c r="AH23" s="19" t="n"/>
      <c r="AI23" s="19" t="n"/>
      <c r="AJ23" s="19" t="n"/>
    </row>
    <row r="24" ht="20" customHeight="1">
      <c r="A24" s="17" t="inlineStr">
        <is>
          <t>3.5</t>
        </is>
      </c>
      <c r="B24" s="6" t="inlineStr">
        <is>
          <t>Thi công thân mố chân dê M1 và mố chữ U M2 bê tông C30</t>
        </is>
      </c>
      <c r="C24" s="42">
        <f>QS_DIEN_GIAI_CHI_TIET!J42</f>
        <v/>
      </c>
      <c r="D24" s="31" t="inlineStr">
        <is>
          <t>m3</t>
        </is>
      </c>
      <c r="E24" s="42" t="n">
        <v>0.52</v>
      </c>
      <c r="F24" s="43">
        <f>C24*E24</f>
        <v/>
      </c>
      <c r="G24" s="31" t="n">
        <v>14</v>
      </c>
      <c r="H24" s="17">
        <f>ROUNDUP(F24/G24, 0)</f>
        <v/>
      </c>
      <c r="I24" s="31" t="inlineStr">
        <is>
          <t>2027-01-06</t>
        </is>
      </c>
      <c r="J24" s="31" t="inlineStr">
        <is>
          <t>2027-01-18</t>
        </is>
      </c>
      <c r="K24" s="31" t="inlineStr">
        <is>
          <t>3.2FS</t>
        </is>
      </c>
      <c r="L24" s="31" t="inlineStr">
        <is>
          <t>NO</t>
        </is>
      </c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46" t="n"/>
      <c r="Z24" s="46" t="n"/>
      <c r="AA24" s="46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</row>
    <row r="25" ht="20" customHeight="1">
      <c r="A25" s="17" t="inlineStr">
        <is>
          <t>3.6</t>
        </is>
      </c>
      <c r="B25" s="6" t="inlineStr">
        <is>
          <t>Thi công xà mũ trụ T1, T2, đá kê gối &amp; khối chống xô</t>
        </is>
      </c>
      <c r="C25" s="42">
        <f>QS_DIEN_GIAI_CHI_TIET!J51</f>
        <v/>
      </c>
      <c r="D25" s="31" t="inlineStr">
        <is>
          <t>m3</t>
        </is>
      </c>
      <c r="E25" s="42" t="n">
        <v>0.65</v>
      </c>
      <c r="F25" s="43">
        <f>C25*E25</f>
        <v/>
      </c>
      <c r="G25" s="31" t="n">
        <v>14</v>
      </c>
      <c r="H25" s="17">
        <f>ROUNDUP(F25/G25, 0)</f>
        <v/>
      </c>
      <c r="I25" s="31" t="inlineStr">
        <is>
          <t>2027-01-23</t>
        </is>
      </c>
      <c r="J25" s="31" t="inlineStr">
        <is>
          <t>2027-01-30</t>
        </is>
      </c>
      <c r="K25" s="31" t="inlineStr">
        <is>
          <t>3.4FS</t>
        </is>
      </c>
      <c r="L25" s="44" t="inlineStr">
        <is>
          <t>YES</t>
        </is>
      </c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45" t="n"/>
      <c r="AC25" s="45" t="n"/>
      <c r="AD25" s="19" t="n"/>
      <c r="AE25" s="19" t="n"/>
      <c r="AF25" s="19" t="n"/>
      <c r="AG25" s="19" t="n"/>
      <c r="AH25" s="19" t="n"/>
      <c r="AI25" s="19" t="n"/>
      <c r="AJ25" s="19" t="n"/>
    </row>
    <row r="26" ht="24" customHeight="1">
      <c r="A26" s="16" t="inlineStr">
        <is>
          <t>4.0</t>
        </is>
      </c>
      <c r="M26" s="19" t="n"/>
      <c r="N26" s="19" t="n"/>
      <c r="O26" s="19" t="n"/>
      <c r="P26" s="19" t="n"/>
      <c r="Q26" s="19" t="n"/>
      <c r="R26" s="19" t="n"/>
      <c r="S26" s="19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19" t="n"/>
      <c r="AG26" s="19" t="n"/>
      <c r="AH26" s="19" t="n"/>
      <c r="AI26" s="19" t="n"/>
      <c r="AJ26" s="19" t="n"/>
    </row>
    <row r="27" ht="20" customHeight="1">
      <c r="A27" s="17" t="inlineStr">
        <is>
          <t>4.1</t>
        </is>
      </c>
      <c r="B27" s="6" t="inlineStr">
        <is>
          <t>Gia công cốt thép, luồn cáp DUL 15.2mm 15 phiến dầm tại bãi đúc</t>
        </is>
      </c>
      <c r="C27" s="42" t="n">
        <v>15</v>
      </c>
      <c r="D27" s="31" t="inlineStr">
        <is>
          <t>Phiến</t>
        </is>
      </c>
      <c r="E27" s="42" t="n">
        <v>28</v>
      </c>
      <c r="F27" s="43">
        <f>C27*E27</f>
        <v/>
      </c>
      <c r="G27" s="31" t="n">
        <v>16</v>
      </c>
      <c r="H27" s="17">
        <f>ROUNDUP(F27/G27, 0)</f>
        <v/>
      </c>
      <c r="I27" s="31" t="inlineStr">
        <is>
          <t>2026-11-28</t>
        </is>
      </c>
      <c r="J27" s="31" t="inlineStr">
        <is>
          <t>2026-12-25</t>
        </is>
      </c>
      <c r="K27" s="31" t="inlineStr">
        <is>
          <t>1.4FS</t>
        </is>
      </c>
      <c r="L27" s="31" t="inlineStr">
        <is>
          <t>NO</t>
        </is>
      </c>
      <c r="M27" s="19" t="n"/>
      <c r="N27" s="19" t="n"/>
      <c r="O27" s="19" t="n"/>
      <c r="P27" s="19" t="n"/>
      <c r="Q27" s="19" t="n"/>
      <c r="R27" s="19" t="n"/>
      <c r="S27" s="19" t="n"/>
      <c r="T27" s="46" t="n"/>
      <c r="U27" s="46" t="n"/>
      <c r="V27" s="46" t="n"/>
      <c r="W27" s="46" t="n"/>
      <c r="X27" s="46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</row>
    <row r="28" ht="20" customHeight="1">
      <c r="A28" s="17" t="inlineStr">
        <is>
          <t>4.2</t>
        </is>
      </c>
      <c r="B28" s="6" t="inlineStr">
        <is>
          <t>Đổ bê tông C45 15 phiến dầm Super-T (bảo dưỡng đạt cường độ R28)</t>
        </is>
      </c>
      <c r="C28" s="42">
        <f>QS_DIEN_GIAI_CHI_TIET!J57</f>
        <v/>
      </c>
      <c r="D28" s="31" t="inlineStr">
        <is>
          <t>m3</t>
        </is>
      </c>
      <c r="E28" s="42" t="n">
        <v>0.65</v>
      </c>
      <c r="F28" s="43">
        <f>C28*E28</f>
        <v/>
      </c>
      <c r="G28" s="31" t="n">
        <v>16</v>
      </c>
      <c r="H28" s="17">
        <f>ROUNDUP(F28/G28, 0)</f>
        <v/>
      </c>
      <c r="I28" s="31" t="inlineStr">
        <is>
          <t>2026-12-26</t>
        </is>
      </c>
      <c r="J28" s="31" t="inlineStr">
        <is>
          <t>2027-01-15</t>
        </is>
      </c>
      <c r="K28" s="31" t="inlineStr">
        <is>
          <t>4.1FS</t>
        </is>
      </c>
      <c r="L28" s="31" t="inlineStr">
        <is>
          <t>NO</t>
        </is>
      </c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46" t="n"/>
      <c r="Y28" s="46" t="n"/>
      <c r="Z28" s="46" t="n"/>
      <c r="AA28" s="46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</row>
    <row r="29" ht="20" customHeight="1">
      <c r="A29" s="17" t="inlineStr">
        <is>
          <t>4.3</t>
        </is>
      </c>
      <c r="B29" s="6" t="inlineStr">
        <is>
          <t>Căng kéo cáp DUL tao xoắn 15.2mm &amp; bơm vữa ống gen dầm</t>
        </is>
      </c>
      <c r="C29" s="42" t="n">
        <v>15</v>
      </c>
      <c r="D29" s="31" t="inlineStr">
        <is>
          <t>Phiến</t>
        </is>
      </c>
      <c r="E29" s="42" t="n">
        <v>4</v>
      </c>
      <c r="F29" s="43">
        <f>C29*E29</f>
        <v/>
      </c>
      <c r="G29" s="31" t="n">
        <v>8</v>
      </c>
      <c r="H29" s="17">
        <f>ROUNDUP(F29/G29, 0)</f>
        <v/>
      </c>
      <c r="I29" s="31" t="inlineStr">
        <is>
          <t>2027-01-16</t>
        </is>
      </c>
      <c r="J29" s="31" t="inlineStr">
        <is>
          <t>2027-01-25</t>
        </is>
      </c>
      <c r="K29" s="31" t="inlineStr">
        <is>
          <t>4.2FS</t>
        </is>
      </c>
      <c r="L29" s="44" t="inlineStr">
        <is>
          <t>YES</t>
        </is>
      </c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45" t="n"/>
      <c r="AB29" s="45" t="n"/>
      <c r="AC29" s="19" t="n"/>
      <c r="AD29" s="19" t="n"/>
      <c r="AE29" s="19" t="n"/>
      <c r="AF29" s="19" t="n"/>
      <c r="AG29" s="19" t="n"/>
      <c r="AH29" s="19" t="n"/>
      <c r="AI29" s="19" t="n"/>
      <c r="AJ29" s="19" t="n"/>
    </row>
    <row r="30" ht="20" customHeight="1">
      <c r="A30" s="17" t="inlineStr">
        <is>
          <t>4.4</t>
        </is>
      </c>
      <c r="B30" s="6" t="inlineStr">
        <is>
          <t>Lắp đặt 30 gối chậu cao su đơn/song hướng mố trụ</t>
        </is>
      </c>
      <c r="C30" s="42" t="n">
        <v>30</v>
      </c>
      <c r="D30" s="31" t="inlineStr">
        <is>
          <t>Cái</t>
        </is>
      </c>
      <c r="E30" s="42" t="n">
        <v>1.2</v>
      </c>
      <c r="F30" s="43">
        <f>C30*E30</f>
        <v/>
      </c>
      <c r="G30" s="31" t="n">
        <v>6</v>
      </c>
      <c r="H30" s="17">
        <f>ROUNDUP(F30/G30, 0)</f>
        <v/>
      </c>
      <c r="I30" s="31" t="inlineStr">
        <is>
          <t>2027-01-31</t>
        </is>
      </c>
      <c r="J30" s="31" t="inlineStr">
        <is>
          <t>2027-02-04</t>
        </is>
      </c>
      <c r="K30" s="31" t="inlineStr">
        <is>
          <t>3.6FS</t>
        </is>
      </c>
      <c r="L30" s="44" t="inlineStr">
        <is>
          <t>YES</t>
        </is>
      </c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45" t="n"/>
      <c r="AD30" s="45" t="n"/>
      <c r="AE30" s="19" t="n"/>
      <c r="AF30" s="19" t="n"/>
      <c r="AG30" s="19" t="n"/>
      <c r="AH30" s="19" t="n"/>
      <c r="AI30" s="19" t="n"/>
      <c r="AJ30" s="19" t="n"/>
    </row>
    <row r="31" ht="20" customHeight="1">
      <c r="A31" s="17" t="inlineStr">
        <is>
          <t>4.5</t>
        </is>
      </c>
      <c r="B31" s="6" t="inlineStr">
        <is>
          <t>Lắp đặt đường ray P43, vận chuyển &amp; lao lắp 15 phiến dầm Super-T</t>
        </is>
      </c>
      <c r="C31" s="42" t="n">
        <v>15</v>
      </c>
      <c r="D31" s="31" t="inlineStr">
        <is>
          <t>Phiến</t>
        </is>
      </c>
      <c r="E31" s="42" t="n">
        <v>5</v>
      </c>
      <c r="F31" s="43">
        <f>C31*E31</f>
        <v/>
      </c>
      <c r="G31" s="31" t="n">
        <v>12</v>
      </c>
      <c r="H31" s="17">
        <f>ROUNDUP(F31/G31, 0)</f>
        <v/>
      </c>
      <c r="I31" s="31" t="inlineStr">
        <is>
          <t>2027-02-05</t>
        </is>
      </c>
      <c r="J31" s="31" t="inlineStr">
        <is>
          <t>2027-02-14</t>
        </is>
      </c>
      <c r="K31" s="31" t="inlineStr">
        <is>
          <t>4.3FS,4.4FS</t>
        </is>
      </c>
      <c r="L31" s="44" t="inlineStr">
        <is>
          <t>YES</t>
        </is>
      </c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45" t="n"/>
      <c r="AE31" s="45" t="n"/>
      <c r="AF31" s="19" t="n"/>
      <c r="AG31" s="19" t="n"/>
      <c r="AH31" s="19" t="n"/>
      <c r="AI31" s="19" t="n"/>
      <c r="AJ31" s="19" t="n"/>
    </row>
    <row r="32" ht="24" customHeight="1">
      <c r="A32" s="16" t="inlineStr">
        <is>
          <t>5.0</t>
        </is>
      </c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41" t="n"/>
      <c r="AF32" s="41" t="n"/>
      <c r="AG32" s="41" t="n"/>
      <c r="AH32" s="41" t="n"/>
      <c r="AI32" s="41" t="n"/>
      <c r="AJ32" s="19" t="n"/>
    </row>
    <row r="33" ht="20" customHeight="1">
      <c r="A33" s="17" t="inlineStr">
        <is>
          <t>5.1</t>
        </is>
      </c>
      <c r="B33" s="6" t="inlineStr">
        <is>
          <t>Đổ bê tông dầm ngang mố, dầm ngang trụ và bản liên tục nhiệt C35</t>
        </is>
      </c>
      <c r="C33" s="42">
        <f>QS_DIEN_GIAI_CHI_TIET!J68</f>
        <v/>
      </c>
      <c r="D33" s="31" t="inlineStr">
        <is>
          <t>m3</t>
        </is>
      </c>
      <c r="E33" s="42" t="n">
        <v>0.85</v>
      </c>
      <c r="F33" s="43">
        <f>C33*E33</f>
        <v/>
      </c>
      <c r="G33" s="31" t="n">
        <v>12</v>
      </c>
      <c r="H33" s="17">
        <f>ROUNDUP(F33/G33, 0)</f>
        <v/>
      </c>
      <c r="I33" s="31" t="inlineStr">
        <is>
          <t>2027-02-15</t>
        </is>
      </c>
      <c r="J33" s="31" t="inlineStr">
        <is>
          <t>2027-02-19</t>
        </is>
      </c>
      <c r="K33" s="31" t="inlineStr">
        <is>
          <t>4.5FS</t>
        </is>
      </c>
      <c r="L33" s="44" t="inlineStr">
        <is>
          <t>YES</t>
        </is>
      </c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45" t="n"/>
      <c r="AF33" s="45" t="n"/>
      <c r="AG33" s="19" t="n"/>
      <c r="AH33" s="19" t="n"/>
      <c r="AI33" s="19" t="n"/>
      <c r="AJ33" s="19" t="n"/>
    </row>
    <row r="34" ht="20" customHeight="1">
      <c r="A34" s="17" t="inlineStr">
        <is>
          <t>5.2</t>
        </is>
      </c>
      <c r="B34" s="6" t="inlineStr">
        <is>
          <t>Lắp đặt 510 tấm ván khuôn đúc sẵn &amp; lắp cốt thép bản mặt cầu C35</t>
        </is>
      </c>
      <c r="C34" s="42">
        <f>QS_DIEN_GIAI_CHI_TIET!J72</f>
        <v/>
      </c>
      <c r="D34" s="31" t="inlineStr">
        <is>
          <t>Tấm</t>
        </is>
      </c>
      <c r="E34" s="42" t="n">
        <v>0.08</v>
      </c>
      <c r="F34" s="43">
        <f>C34*E34</f>
        <v/>
      </c>
      <c r="G34" s="31" t="n">
        <v>14</v>
      </c>
      <c r="H34" s="17">
        <f>ROUNDUP(F34/G34, 0)</f>
        <v/>
      </c>
      <c r="I34" s="31" t="inlineStr">
        <is>
          <t>2027-02-20</t>
        </is>
      </c>
      <c r="J34" s="31" t="inlineStr">
        <is>
          <t>2027-02-24</t>
        </is>
      </c>
      <c r="K34" s="31" t="inlineStr">
        <is>
          <t>5.1FS</t>
        </is>
      </c>
      <c r="L34" s="44" t="inlineStr">
        <is>
          <t>YES</t>
        </is>
      </c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45" t="n"/>
      <c r="AG34" s="19" t="n"/>
      <c r="AH34" s="19" t="n"/>
      <c r="AI34" s="19" t="n"/>
      <c r="AJ34" s="19" t="n"/>
    </row>
    <row r="35" ht="20" customHeight="1">
      <c r="A35" s="17" t="inlineStr">
        <is>
          <t>5.3</t>
        </is>
      </c>
      <c r="B35" s="6" t="inlineStr">
        <is>
          <t>Đổ bê tông bản mặt cầu tại chỗ C35 (dày tối thiểu 180mm)</t>
        </is>
      </c>
      <c r="C35" s="42">
        <f>QS_DIEN_GIAI_CHI_TIET!J74</f>
        <v/>
      </c>
      <c r="D35" s="31" t="inlineStr">
        <is>
          <t>m3</t>
        </is>
      </c>
      <c r="E35" s="42" t="n">
        <v>0.45</v>
      </c>
      <c r="F35" s="43">
        <f>C35*E35</f>
        <v/>
      </c>
      <c r="G35" s="31" t="n">
        <v>18</v>
      </c>
      <c r="H35" s="17">
        <f>ROUNDUP(F35/G35, 0)</f>
        <v/>
      </c>
      <c r="I35" s="31" t="inlineStr">
        <is>
          <t>2027-02-25</t>
        </is>
      </c>
      <c r="J35" s="31" t="inlineStr">
        <is>
          <t>2027-03-02</t>
        </is>
      </c>
      <c r="K35" s="31" t="inlineStr">
        <is>
          <t>5.2FS</t>
        </is>
      </c>
      <c r="L35" s="44" t="inlineStr">
        <is>
          <t>YES</t>
        </is>
      </c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45" t="n"/>
      <c r="AH35" s="19" t="n"/>
      <c r="AI35" s="19" t="n"/>
      <c r="AJ35" s="19" t="n"/>
    </row>
    <row r="36" ht="20" customHeight="1">
      <c r="A36" s="17" t="inlineStr">
        <is>
          <t>5.4</t>
        </is>
      </c>
      <c r="B36" s="6" t="inlineStr">
        <is>
          <t>Đổ bê tông bản quá độ C25 sau 2 mố &amp; đắp đất chọn lọc K98</t>
        </is>
      </c>
      <c r="C36" s="42" t="n">
        <v>2</v>
      </c>
      <c r="D36" s="31" t="inlineStr">
        <is>
          <t>Bản</t>
        </is>
      </c>
      <c r="E36" s="42" t="n">
        <v>24</v>
      </c>
      <c r="F36" s="43">
        <f>C36*E36</f>
        <v/>
      </c>
      <c r="G36" s="31" t="n">
        <v>10</v>
      </c>
      <c r="H36" s="17">
        <f>ROUNDUP(F36/G36, 0)</f>
        <v/>
      </c>
      <c r="I36" s="31" t="inlineStr">
        <is>
          <t>2027-03-01</t>
        </is>
      </c>
      <c r="J36" s="31" t="inlineStr">
        <is>
          <t>2027-03-06</t>
        </is>
      </c>
      <c r="K36" s="31" t="inlineStr">
        <is>
          <t>5.1FS</t>
        </is>
      </c>
      <c r="L36" s="31" t="inlineStr">
        <is>
          <t>NO</t>
        </is>
      </c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46" t="n"/>
      <c r="AH36" s="46" t="n"/>
      <c r="AI36" s="19" t="n"/>
      <c r="AJ36" s="19" t="n"/>
    </row>
    <row r="37" ht="20" customHeight="1">
      <c r="A37" s="17" t="inlineStr">
        <is>
          <t>5.5</t>
        </is>
      </c>
      <c r="B37" s="6" t="inlineStr">
        <is>
          <t>Lắp đặt khe co giãn răng lược thép D=100mm &amp; ống thoát nước PVC D150</t>
        </is>
      </c>
      <c r="C37" s="42" t="n">
        <v>2</v>
      </c>
      <c r="D37" s="31" t="inlineStr">
        <is>
          <t>Bộ</t>
        </is>
      </c>
      <c r="E37" s="42" t="n">
        <v>18</v>
      </c>
      <c r="F37" s="43">
        <f>C37*E37</f>
        <v/>
      </c>
      <c r="G37" s="31" t="n">
        <v>6</v>
      </c>
      <c r="H37" s="17">
        <f>ROUNDUP(F37/G37, 0)</f>
        <v/>
      </c>
      <c r="I37" s="31" t="inlineStr">
        <is>
          <t>2027-03-07</t>
        </is>
      </c>
      <c r="J37" s="31" t="inlineStr">
        <is>
          <t>2027-03-12</t>
        </is>
      </c>
      <c r="K37" s="31" t="inlineStr">
        <is>
          <t>5.3FS</t>
        </is>
      </c>
      <c r="L37" s="44" t="inlineStr">
        <is>
          <t>YES</t>
        </is>
      </c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45" t="n"/>
      <c r="AI37" s="45" t="n"/>
      <c r="AJ37" s="19" t="n"/>
    </row>
    <row r="38" ht="20" customHeight="1">
      <c r="A38" s="17" t="inlineStr">
        <is>
          <t>5.6</t>
        </is>
      </c>
      <c r="B38" s="6" t="inlineStr">
        <is>
          <t>Đổ bê tông gờ lan can C25 &amp; lắp dựng tay vịn thép mạ kẽm</t>
        </is>
      </c>
      <c r="C38" s="42" t="n">
        <v>260.8</v>
      </c>
      <c r="D38" s="31" t="inlineStr">
        <is>
          <t>m</t>
        </is>
      </c>
      <c r="E38" s="42" t="n">
        <v>0.35</v>
      </c>
      <c r="F38" s="43">
        <f>C38*E38</f>
        <v/>
      </c>
      <c r="G38" s="31" t="n">
        <v>10</v>
      </c>
      <c r="H38" s="17">
        <f>ROUNDUP(F38/G38, 0)</f>
        <v/>
      </c>
      <c r="I38" s="31" t="inlineStr">
        <is>
          <t>2027-03-08</t>
        </is>
      </c>
      <c r="J38" s="31" t="inlineStr">
        <is>
          <t>2027-03-15</t>
        </is>
      </c>
      <c r="K38" s="31" t="inlineStr">
        <is>
          <t>5.3FS</t>
        </is>
      </c>
      <c r="L38" s="31" t="inlineStr">
        <is>
          <t>NO</t>
        </is>
      </c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46" t="n"/>
      <c r="AI38" s="46" t="n"/>
      <c r="AJ38" s="19" t="n"/>
    </row>
    <row r="39" ht="20" customHeight="1">
      <c r="A39" s="17" t="inlineStr">
        <is>
          <t>5.7</t>
        </is>
      </c>
      <c r="B39" s="6" t="inlineStr">
        <is>
          <t>Phun lớp màng chống thấm &amp; thảm bê tông nhựa C16 mặt cầu dày 7cm</t>
        </is>
      </c>
      <c r="C39" s="42">
        <f>QS_DIEN_GIAI_CHI_TIET!J87</f>
        <v/>
      </c>
      <c r="D39" s="31" t="inlineStr">
        <is>
          <t>m2</t>
        </is>
      </c>
      <c r="E39" s="42" t="n">
        <v>0.04</v>
      </c>
      <c r="F39" s="43">
        <f>C39*E39</f>
        <v/>
      </c>
      <c r="G39" s="31" t="n">
        <v>12</v>
      </c>
      <c r="H39" s="17">
        <f>ROUNDUP(F39/G39, 0)</f>
        <v/>
      </c>
      <c r="I39" s="31" t="inlineStr">
        <is>
          <t>2027-03-16</t>
        </is>
      </c>
      <c r="J39" s="31" t="inlineStr">
        <is>
          <t>2027-03-19</t>
        </is>
      </c>
      <c r="K39" s="31" t="inlineStr">
        <is>
          <t>5.5FS</t>
        </is>
      </c>
      <c r="L39" s="44" t="inlineStr">
        <is>
          <t>YES</t>
        </is>
      </c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45" t="n"/>
      <c r="AJ39" s="45" t="n"/>
    </row>
    <row r="40" ht="24" customHeight="1">
      <c r="A40" s="16" t="inlineStr">
        <is>
          <t>6.0</t>
        </is>
      </c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41" t="n"/>
    </row>
    <row r="41" ht="20" customHeight="1">
      <c r="A41" s="17" t="inlineStr">
        <is>
          <t>6.1</t>
        </is>
      </c>
      <c r="B41" s="6" t="inlineStr">
        <is>
          <t>Thử tải tĩnh/động cầu bằng đoàn xe tải nặng, đo dao động &amp; võng dầm</t>
        </is>
      </c>
      <c r="C41" s="42" t="n">
        <v>1</v>
      </c>
      <c r="D41" s="31" t="inlineStr">
        <is>
          <t>Gói</t>
        </is>
      </c>
      <c r="E41" s="42" t="n">
        <v>32</v>
      </c>
      <c r="F41" s="43">
        <f>C41*E41</f>
        <v/>
      </c>
      <c r="G41" s="31" t="n">
        <v>8</v>
      </c>
      <c r="H41" s="17">
        <f>ROUNDUP(F41/G41, 0)</f>
        <v/>
      </c>
      <c r="I41" s="31" t="inlineStr">
        <is>
          <t>2027-03-20</t>
        </is>
      </c>
      <c r="J41" s="31" t="inlineStr">
        <is>
          <t>2027-03-24</t>
        </is>
      </c>
      <c r="K41" s="31" t="inlineStr">
        <is>
          <t>5.7FS</t>
        </is>
      </c>
      <c r="L41" s="44" t="inlineStr">
        <is>
          <t>YES</t>
        </is>
      </c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45" t="n"/>
    </row>
    <row r="42" ht="20" customHeight="1">
      <c r="A42" s="17" t="inlineStr">
        <is>
          <t>6.2</t>
        </is>
      </c>
      <c r="B42" s="6" t="inlineStr">
        <is>
          <t>Hoàn thiện hồ sơ hoàn công, nghiệm thu bàn giao đưa vào khai thác</t>
        </is>
      </c>
      <c r="C42" s="42" t="n">
        <v>1</v>
      </c>
      <c r="D42" s="31" t="inlineStr">
        <is>
          <t>Gói</t>
        </is>
      </c>
      <c r="E42" s="42" t="n">
        <v>24</v>
      </c>
      <c r="F42" s="43">
        <f>C42*E42</f>
        <v/>
      </c>
      <c r="G42" s="31" t="n">
        <v>6</v>
      </c>
      <c r="H42" s="17">
        <f>ROUNDUP(F42/G42, 0)</f>
        <v/>
      </c>
      <c r="I42" s="31" t="inlineStr">
        <is>
          <t>2027-03-25</t>
        </is>
      </c>
      <c r="J42" s="31" t="inlineStr">
        <is>
          <t>2027-03-28</t>
        </is>
      </c>
      <c r="K42" s="31" t="inlineStr">
        <is>
          <t>6.1FS</t>
        </is>
      </c>
      <c r="L42" s="44" t="inlineStr">
        <is>
          <t>YES</t>
        </is>
      </c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45" t="n"/>
    </row>
  </sheetData>
  <mergeCells count="24">
    <mergeCell ref="E5:E6"/>
    <mergeCell ref="A7:L7"/>
    <mergeCell ref="F5:F6"/>
    <mergeCell ref="U5:X5"/>
    <mergeCell ref="A12:L12"/>
    <mergeCell ref="L5:L6"/>
    <mergeCell ref="A26:L26"/>
    <mergeCell ref="AG5:AJ5"/>
    <mergeCell ref="A32:L32"/>
    <mergeCell ref="I5:I6"/>
    <mergeCell ref="A5:A6"/>
    <mergeCell ref="G5:G6"/>
    <mergeCell ref="M5:P5"/>
    <mergeCell ref="A19:L19"/>
    <mergeCell ref="A40:L40"/>
    <mergeCell ref="Q5:T5"/>
    <mergeCell ref="Y5:AB5"/>
    <mergeCell ref="B5:B6"/>
    <mergeCell ref="D5:D6"/>
    <mergeCell ref="AC5:AF5"/>
    <mergeCell ref="H5:H6"/>
    <mergeCell ref="J5:J6"/>
    <mergeCell ref="K5:K6"/>
    <mergeCell ref="C5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48" customWidth="1" min="3" max="3"/>
    <col width="15" customWidth="1" min="4" max="4"/>
    <col width="8" customWidth="1" min="5" max="5"/>
    <col width="25" customWidth="1" min="6" max="6"/>
    <col width="45" customWidth="1" min="7" max="7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DANH MỤC HỒ SƠ QUẢN LÝ CHẤT LƯỢNG &amp; BIÊN BẢN NGHIỆM THU KCS - CẦU KM19+529.080</t>
        </is>
      </c>
    </row>
    <row r="4">
      <c r="B4" s="3" t="inlineStr">
        <is>
          <t>Tuân thủ Luật Xây dựng số 135/2025/QH15 &amp; Nghị định 207/2026/NĐ-CP (Khối lượng link trực tiếp từ Sheet QS)</t>
        </is>
      </c>
    </row>
    <row r="5" ht="28" customHeight="1">
      <c r="A5" s="4" t="inlineStr">
        <is>
          <t>STT</t>
        </is>
      </c>
      <c r="B5" s="4" t="inlineStr">
        <is>
          <t>Số hiệu biên bản</t>
        </is>
      </c>
      <c r="C5" s="4" t="inlineStr">
        <is>
          <t>Tên công việc / Giai đoạn nghiệm thu KCS</t>
        </is>
      </c>
      <c r="D5" s="4" t="inlineStr">
        <is>
          <t>Khối lượng nghiệm thu</t>
        </is>
      </c>
      <c r="E5" s="4" t="inlineStr">
        <is>
          <t>ĐVT</t>
        </is>
      </c>
      <c r="F5" s="4" t="inlineStr">
        <is>
          <t>Căn cứ quy chuẩn / Tiêu chuẩn áp dụng</t>
        </is>
      </c>
      <c r="G5" s="4" t="inlineStr">
        <is>
          <t>Chỉ tiêu thí nghiệm &amp; Điểm kiểm soát (Hold Points)</t>
        </is>
      </c>
    </row>
    <row r="6" ht="20" customHeight="1">
      <c r="A6" s="31" t="inlineStr">
        <is>
          <t>1</t>
        </is>
      </c>
      <c r="B6" s="17" t="inlineStr">
        <is>
          <t>BBNT-01</t>
        </is>
      </c>
      <c r="C6" s="6" t="inlineStr">
        <is>
          <t>Bàn giao tim mốc VN2000, cao độ Hòn Dấu &amp; tim mốc cầu Km19+529.080</t>
        </is>
      </c>
      <c r="D6" s="42" t="n">
        <v>1</v>
      </c>
      <c r="E6" s="31" t="inlineStr">
        <is>
          <t>Điểm</t>
        </is>
      </c>
      <c r="F6" s="32" t="inlineStr">
        <is>
          <t>TCVN 9393:2012</t>
        </is>
      </c>
      <c r="G6" s="6" t="inlineStr">
        <is>
          <t>Sai số tọa độ tim mốc &lt;= 5mm, mốc cao độ &lt;= 2mm</t>
        </is>
      </c>
    </row>
    <row r="7" ht="20" customHeight="1">
      <c r="A7" s="31" t="inlineStr">
        <is>
          <t>2</t>
        </is>
      </c>
      <c r="B7" s="17" t="inlineStr">
        <is>
          <t>BBNT-02</t>
        </is>
      </c>
      <c r="C7" s="6" t="inlineStr">
        <is>
          <t>Nghiệm thu dọn dẹp mặt bằng, thi công đường công vụ nhánh 6 &amp; 6A</t>
        </is>
      </c>
      <c r="D7" s="42">
        <f>KHOI_LUONG_DAO_DAP!F19</f>
        <v/>
      </c>
      <c r="E7" s="31" t="inlineStr">
        <is>
          <t>m3</t>
        </is>
      </c>
      <c r="F7" s="32" t="inlineStr">
        <is>
          <t>TCVN 4447:2012</t>
        </is>
      </c>
      <c r="G7" s="6" t="inlineStr">
        <is>
          <t>Độ dầm chặt nền đường K &gt;= 0.95, thoát nước tốt</t>
        </is>
      </c>
    </row>
    <row r="8" ht="20" customHeight="1">
      <c r="A8" s="31" t="inlineStr">
        <is>
          <t>3</t>
        </is>
      </c>
      <c r="B8" s="17" t="inlineStr">
        <is>
          <t>BBNT-03</t>
        </is>
      </c>
      <c r="C8" s="6" t="inlineStr">
        <is>
          <t>Kiểm tra nghiệm thu chất lượng vật liệu đầu vào (Thép, Cáp DUL, Xi măng)</t>
        </is>
      </c>
      <c r="D8" s="42" t="n">
        <v>1</v>
      </c>
      <c r="E8" s="31" t="inlineStr">
        <is>
          <t>Lô</t>
        </is>
      </c>
      <c r="F8" s="32" t="inlineStr">
        <is>
          <t>TCVN 1651:2018, ASTM A416</t>
        </is>
      </c>
      <c r="G8" s="6" t="inlineStr">
        <is>
          <t>Chứng chỉ CO/CQ, thí nghiệm kéo uốn thép, nén xi măng</t>
        </is>
      </c>
    </row>
    <row r="9" ht="20" customHeight="1">
      <c r="A9" s="31" t="inlineStr">
        <is>
          <t>4</t>
        </is>
      </c>
      <c r="B9" s="17" t="inlineStr">
        <is>
          <t>BBNT-04</t>
        </is>
      </c>
      <c r="C9" s="6" t="inlineStr">
        <is>
          <t>Nghiệm thu trạm trộn BTXM, trạm biến áp &amp; bệ đúc dầm Super-T</t>
        </is>
      </c>
      <c r="D9" s="42" t="n">
        <v>1</v>
      </c>
      <c r="E9" s="31" t="inlineStr">
        <is>
          <t>Hệ</t>
        </is>
      </c>
      <c r="F9" s="32" t="inlineStr">
        <is>
          <t>TCVN 9340:2012</t>
        </is>
      </c>
      <c r="G9" s="6" t="inlineStr">
        <is>
          <t>Độ chính xác cân đong sai số &lt;= 1%, bệ đúc đủ độ cứng</t>
        </is>
      </c>
    </row>
    <row r="10" ht="20" customHeight="1">
      <c r="A10" s="31" t="inlineStr">
        <is>
          <t>5</t>
        </is>
      </c>
      <c r="B10" s="17" t="inlineStr">
        <is>
          <t>BBNT-05</t>
        </is>
      </c>
      <c r="C10" s="6" t="inlineStr">
        <is>
          <t>Nghiệm thu định vị tim cọc &amp; hạ ống vách thép dẫn hướng D1300mm</t>
        </is>
      </c>
      <c r="D10" s="42">
        <f>QS_DIEN_GIAI_CHI_TIET!J13</f>
        <v/>
      </c>
      <c r="E10" s="31" t="inlineStr">
        <is>
          <t>m</t>
        </is>
      </c>
      <c r="F10" s="32" t="inlineStr">
        <is>
          <t>TCVN 11823:2017</t>
        </is>
      </c>
      <c r="G10" s="6" t="inlineStr">
        <is>
          <t>Độ nghiêng ống vách &lt;= 1%, sai số tim cọc &lt;= 50mm</t>
        </is>
      </c>
    </row>
    <row r="11" ht="20" customHeight="1">
      <c r="A11" s="31" t="inlineStr">
        <is>
          <t>6</t>
        </is>
      </c>
      <c r="B11" s="17" t="inlineStr">
        <is>
          <t>BBNT-06</t>
        </is>
      </c>
      <c r="C11" s="6" t="inlineStr">
        <is>
          <t>Nghiệm thu khoan thăm dò hang Karst sâu 5m dưới mũi cọc</t>
        </is>
      </c>
      <c r="D11" s="42" t="n">
        <v>26</v>
      </c>
      <c r="E11" s="31" t="inlineStr">
        <is>
          <t>Lỗ</t>
        </is>
      </c>
      <c r="F11" s="32" t="inlineStr">
        <is>
          <t>Chỉ dẫn TK Trang 11</t>
        </is>
      </c>
      <c r="G11" s="6" t="inlineStr">
        <is>
          <t>Khoan vào đá liền khối tối thiểu 5m, không rỗng Karst</t>
        </is>
      </c>
    </row>
    <row r="12" ht="20" customHeight="1">
      <c r="A12" s="31" t="inlineStr">
        <is>
          <t>7</t>
        </is>
      </c>
      <c r="B12" s="17" t="inlineStr">
        <is>
          <t>BBNT-07</t>
        </is>
      </c>
      <c r="C12" s="6" t="inlineStr">
        <is>
          <t>Nghiệm thu hố khoan cọc D1200mm, thổi rửa đáy &amp; kiểm tra dung dịch</t>
        </is>
      </c>
      <c r="D12" s="42">
        <f>QS_DIEN_GIAI_CHI_TIET!J7</f>
        <v/>
      </c>
      <c r="E12" s="31" t="inlineStr">
        <is>
          <t>m</t>
        </is>
      </c>
      <c r="F12" s="32" t="inlineStr">
        <is>
          <t>TCVN 9395:2012</t>
        </is>
      </c>
      <c r="G12" s="6" t="inlineStr">
        <is>
          <t>Chiều dày cặn lắng đáy &lt;= 50mm, tỷ trọng bentonite 1.05-1.15</t>
        </is>
      </c>
    </row>
    <row r="13" ht="20" customHeight="1">
      <c r="A13" s="31" t="inlineStr">
        <is>
          <t>8</t>
        </is>
      </c>
      <c r="B13" s="17" t="inlineStr">
        <is>
          <t>BBNT-08</t>
        </is>
      </c>
      <c r="C13" s="6" t="inlineStr">
        <is>
          <t>Nghiệm thu gia công, lắp dựng lồng cốt thép &amp; ống siêu âm cọc nhồi</t>
        </is>
      </c>
      <c r="D13" s="42">
        <f>QS_DIEN_GIAI_CHI_TIET!J23</f>
        <v/>
      </c>
      <c r="E13" s="31" t="inlineStr">
        <is>
          <t>Tấn</t>
        </is>
      </c>
      <c r="F13" s="32" t="inlineStr">
        <is>
          <t>TCVN 4453:1995</t>
        </is>
      </c>
      <c r="G13" s="6" t="inlineStr">
        <is>
          <t>Chiều dài lồng thép, mối nối coupler, ống siêu âm kín nước</t>
        </is>
      </c>
    </row>
    <row r="14" ht="20" customHeight="1">
      <c r="A14" s="31" t="inlineStr">
        <is>
          <t>9</t>
        </is>
      </c>
      <c r="B14" s="17" t="inlineStr">
        <is>
          <t>BBNT-09</t>
        </is>
      </c>
      <c r="C14" s="6" t="inlineStr">
        <is>
          <t>Nghiệm thu đổ bê tông cọc khoan nhồi C30 bằng ống tremie</t>
        </is>
      </c>
      <c r="D14" s="42">
        <f>QS_DIEN_GIAI_CHI_TIET!J18</f>
        <v/>
      </c>
      <c r="E14" s="31" t="inlineStr">
        <is>
          <t>m3</t>
        </is>
      </c>
      <c r="F14" s="32" t="inlineStr">
        <is>
          <t>TCVN 9395:2012</t>
        </is>
      </c>
      <c r="G14" s="6" t="inlineStr">
        <is>
          <t>Độ sụt 18+-2cm, ống tremie ngập bê tông &gt;= 2.0m liên tục</t>
        </is>
      </c>
    </row>
    <row r="15" ht="20" customHeight="1">
      <c r="A15" s="31" t="inlineStr">
        <is>
          <t>10</t>
        </is>
      </c>
      <c r="B15" s="17" t="inlineStr">
        <is>
          <t>BBNT-10</t>
        </is>
      </c>
      <c r="C15" s="6" t="inlineStr">
        <is>
          <t>Nghiệm thu thí nghiệm kiểm tra cọc (Siêu âm 100%, lõi bê tông &amp; PDA)</t>
        </is>
      </c>
      <c r="D15" s="42" t="n">
        <v>1</v>
      </c>
      <c r="E15" s="31" t="inlineStr">
        <is>
          <t>Gói</t>
        </is>
      </c>
      <c r="F15" s="32" t="inlineStr">
        <is>
          <t>TCVN 9396, ASTM D4945</t>
        </is>
      </c>
      <c r="G15" s="6" t="inlineStr">
        <is>
          <t>Siêu âm 156 mặt cắt; PDA trụ T1 đạt tải trọng 9434 kN</t>
        </is>
      </c>
    </row>
    <row r="16" ht="20" customHeight="1">
      <c r="A16" s="31" t="inlineStr">
        <is>
          <t>11</t>
        </is>
      </c>
      <c r="B16" s="17" t="inlineStr">
        <is>
          <t>BBNT-11</t>
        </is>
      </c>
      <c r="C16" s="6" t="inlineStr">
        <is>
          <t>Nghiệm thu đào hố móng, đập đầu 26 cọc &amp; đổ bê tông lót bệ mác C10</t>
        </is>
      </c>
      <c r="D16" s="42">
        <f>QS_DIEN_GIAI_CHI_TIET!J28</f>
        <v/>
      </c>
      <c r="E16" s="31" t="inlineStr">
        <is>
          <t>m3</t>
        </is>
      </c>
      <c r="F16" s="32" t="inlineStr">
        <is>
          <t>TCVN 4453:1995</t>
        </is>
      </c>
      <c r="G16" s="6" t="inlineStr">
        <is>
          <t>Đầu cọc ngàm vào bệ 10cm, cốt thép cọc neo sâu 40D</t>
        </is>
      </c>
    </row>
    <row r="17" ht="20" customHeight="1">
      <c r="A17" s="31" t="inlineStr">
        <is>
          <t>12</t>
        </is>
      </c>
      <c r="B17" s="17" t="inlineStr">
        <is>
          <t>BBNT-12</t>
        </is>
      </c>
      <c r="C17" s="6" t="inlineStr">
        <is>
          <t>Nghiệm thu ván khuôn, cốt thép &amp; đổ bê tông bệ mố M1, M2 &amp; bệ trụ T1, T2 C30</t>
        </is>
      </c>
      <c r="D17" s="42">
        <f>QS_DIEN_GIAI_CHI_TIET!J37</f>
        <v/>
      </c>
      <c r="E17" s="31" t="inlineStr">
        <is>
          <t>m3</t>
        </is>
      </c>
      <c r="F17" s="32" t="inlineStr">
        <is>
          <t>TCVN 3105:2022</t>
        </is>
      </c>
      <c r="G17" s="6" t="inlineStr">
        <is>
          <t>Kích thước hình học bệ, 12 tổ mẫu thử nén đạt C30</t>
        </is>
      </c>
    </row>
    <row r="18" ht="20" customHeight="1">
      <c r="A18" s="31" t="inlineStr">
        <is>
          <t>13</t>
        </is>
      </c>
      <c r="B18" s="17" t="inlineStr">
        <is>
          <t>BBNT-13</t>
        </is>
      </c>
      <c r="C18" s="6" t="inlineStr">
        <is>
          <t>Nghiệm thu thân mố chân dê M1 và thân mố chữ U M2 bê tông C30</t>
        </is>
      </c>
      <c r="D18" s="42">
        <f>QS_DIEN_GIAI_CHI_TIET!J42</f>
        <v/>
      </c>
      <c r="E18" s="31" t="inlineStr">
        <is>
          <t>m3</t>
        </is>
      </c>
      <c r="F18" s="32" t="inlineStr">
        <is>
          <t>TCVN 11823:2017</t>
        </is>
      </c>
      <c r="G18" s="6" t="inlineStr">
        <is>
          <t>Độ thẳng đứng thân mố, bề mặt bê tông phẳng nhẵn</t>
        </is>
      </c>
    </row>
    <row r="19" ht="20" customHeight="1">
      <c r="A19" s="31" t="inlineStr">
        <is>
          <t>14</t>
        </is>
      </c>
      <c r="B19" s="17" t="inlineStr">
        <is>
          <t>BBNT-14</t>
        </is>
      </c>
      <c r="C19" s="6" t="inlineStr">
        <is>
          <t>Nghiệm thu cốt thép, ván khuôn &amp; đổ bê tông thân đặc trụ T1, T2 C30</t>
        </is>
      </c>
      <c r="D19" s="42">
        <f>QS_DIEN_GIAI_CHI_TIET!J47</f>
        <v/>
      </c>
      <c r="E19" s="31" t="inlineStr">
        <is>
          <t>m3</t>
        </is>
      </c>
      <c r="F19" s="32" t="inlineStr">
        <is>
          <t>TCVN 4453:1995</t>
        </is>
      </c>
      <c r="G19" s="6" t="inlineStr">
        <is>
          <t>Kích thước thân đặc 9.75x2.0m, chiều cao H=14.5m và 11.4m</t>
        </is>
      </c>
    </row>
    <row r="20" ht="20" customHeight="1">
      <c r="A20" s="31" t="inlineStr">
        <is>
          <t>15</t>
        </is>
      </c>
      <c r="B20" s="17" t="inlineStr">
        <is>
          <t>BBNT-15</t>
        </is>
      </c>
      <c r="C20" s="6" t="inlineStr">
        <is>
          <t>Nghiệm thu cốt thép, ván khuôn &amp; đổ bê tông xà mũ trụ T1, T2, đá kê gối</t>
        </is>
      </c>
      <c r="D20" s="42">
        <f>QS_DIEN_GIAI_CHI_TIET!J51</f>
        <v/>
      </c>
      <c r="E20" s="31" t="inlineStr">
        <is>
          <t>m3</t>
        </is>
      </c>
      <c r="F20" s="32" t="inlineStr">
        <is>
          <t>TCVN 11823:2017</t>
        </is>
      </c>
      <c r="G20" s="6" t="inlineStr">
        <is>
          <t>Cao độ mặt đá kê gối sai số &lt;= 2mm, tim đá kê &lt;= 3mm</t>
        </is>
      </c>
    </row>
    <row r="21" ht="20" customHeight="1">
      <c r="A21" s="31" t="inlineStr">
        <is>
          <t>16</t>
        </is>
      </c>
      <c r="B21" s="17" t="inlineStr">
        <is>
          <t>BBNT-16</t>
        </is>
      </c>
      <c r="C21" s="6" t="inlineStr">
        <is>
          <t>Nghiệm thu cốt thép, ván khuôn &amp; đổ bê tông C45 15 phiến dầm Super-T</t>
        </is>
      </c>
      <c r="D21" s="42">
        <f>QS_DIEN_GIAI_CHI_TIET!J57</f>
        <v/>
      </c>
      <c r="E21" s="31" t="inlineStr">
        <is>
          <t>m3</t>
        </is>
      </c>
      <c r="F21" s="32" t="inlineStr">
        <is>
          <t>TCVN 3105:2022</t>
        </is>
      </c>
      <c r="G21" s="6" t="inlineStr">
        <is>
          <t>Cường độ bê tông đạt R28 &gt;= 45 MPa, không rỗ nứt</t>
        </is>
      </c>
    </row>
    <row r="22" ht="20" customHeight="1">
      <c r="A22" s="31" t="inlineStr">
        <is>
          <t>17</t>
        </is>
      </c>
      <c r="B22" s="17" t="inlineStr">
        <is>
          <t>BBNT-17</t>
        </is>
      </c>
      <c r="C22" s="6" t="inlineStr">
        <is>
          <t>Nghiệm thu căng kéo cáp DUL 15.2mm &amp; bơm vữa ống gen dầm Super-T</t>
        </is>
      </c>
      <c r="D22" s="42">
        <f>QS_DIEN_GIAI_CHI_TIET!J59</f>
        <v/>
      </c>
      <c r="E22" s="31" t="inlineStr">
        <is>
          <t>Tấn</t>
        </is>
      </c>
      <c r="F22" s="32" t="inlineStr">
        <is>
          <t>TCVN 11823:2017</t>
        </is>
      </c>
      <c r="G22" s="6" t="inlineStr">
        <is>
          <t>Sai số độ giãn dài cáp &lt;= +-5%, vữa bơm lấp đầy 100% gen</t>
        </is>
      </c>
    </row>
    <row r="23" ht="20" customHeight="1">
      <c r="A23" s="31" t="inlineStr">
        <is>
          <t>18</t>
        </is>
      </c>
      <c r="B23" s="17" t="inlineStr">
        <is>
          <t>BBNT-18</t>
        </is>
      </c>
      <c r="C23" s="6" t="inlineStr">
        <is>
          <t>Nghiệm thu lắp đặt 30 gối chậu cao su &amp; lao lắp 15 phiến dầm Super-T</t>
        </is>
      </c>
      <c r="D23" s="42">
        <f>QS_DIEN_GIAI_CHI_TIET!J65</f>
        <v/>
      </c>
      <c r="E23" s="31" t="inlineStr">
        <is>
          <t>Cái</t>
        </is>
      </c>
      <c r="F23" s="32" t="inlineStr">
        <is>
          <t>TCVN 10308:2014</t>
        </is>
      </c>
      <c r="G23" s="6" t="inlineStr">
        <is>
          <t>Gối chậu nằm ngang chuẩn xác, dầm đặt êm thuận trên mố trụ</t>
        </is>
      </c>
    </row>
    <row r="24" ht="20" customHeight="1">
      <c r="A24" s="31" t="inlineStr">
        <is>
          <t>19</t>
        </is>
      </c>
      <c r="B24" s="17" t="inlineStr">
        <is>
          <t>BBNT-19</t>
        </is>
      </c>
      <c r="C24" s="6" t="inlineStr">
        <is>
          <t>Nghiệm thu đổ bê tông dầm ngang &amp; mối nối liên tục nhiệt đỉnh trụ T1, T2</t>
        </is>
      </c>
      <c r="D24" s="42">
        <f>QS_DIEN_GIAI_CHI_TIET!J68</f>
        <v/>
      </c>
      <c r="E24" s="31" t="inlineStr">
        <is>
          <t>m3</t>
        </is>
      </c>
      <c r="F24" s="32" t="inlineStr">
        <is>
          <t>TCVN 4453:1995</t>
        </is>
      </c>
      <c r="G24" s="6" t="inlineStr">
        <is>
          <t>Liên kết cứng dầm ngang, bản liên tục nhiệt triệt tiêu khe nứt</t>
        </is>
      </c>
    </row>
    <row r="25" ht="20" customHeight="1">
      <c r="A25" s="31" t="inlineStr">
        <is>
          <t>20</t>
        </is>
      </c>
      <c r="B25" s="17" t="inlineStr">
        <is>
          <t>BBNT-20</t>
        </is>
      </c>
      <c r="C25" s="6" t="inlineStr">
        <is>
          <t>Nghiệm thu cốt thép, ván khuôn &amp; đổ bê tông bản mặt cầu C35 dày 180mm</t>
        </is>
      </c>
      <c r="D25" s="42">
        <f>QS_DIEN_GIAI_CHI_TIET!J74</f>
        <v/>
      </c>
      <c r="E25" s="31" t="inlineStr">
        <is>
          <t>m3</t>
        </is>
      </c>
      <c r="F25" s="32" t="inlineStr">
        <is>
          <t>TCVN 11823:2017</t>
        </is>
      </c>
      <c r="G25" s="6" t="inlineStr">
        <is>
          <t>Độ dốc ngang thoát nước 2%, chiều dày bảo vệ cốt thép chuẩn</t>
        </is>
      </c>
    </row>
    <row r="26" ht="20" customHeight="1">
      <c r="A26" s="31" t="inlineStr">
        <is>
          <t>21</t>
        </is>
      </c>
      <c r="B26" s="17" t="inlineStr">
        <is>
          <t>BBNT-21</t>
        </is>
      </c>
      <c r="C26" s="6" t="inlineStr">
        <is>
          <t>Nghiệm thu khe co giãn răng lược D=100mm, gờ lan can &amp; thảm BTN C16</t>
        </is>
      </c>
      <c r="D26" s="42">
        <f>QS_DIEN_GIAI_CHI_TIET!J87</f>
        <v/>
      </c>
      <c r="E26" s="31" t="inlineStr">
        <is>
          <t>m2</t>
        </is>
      </c>
      <c r="F26" s="32" t="inlineStr">
        <is>
          <t>TCVN 8819:2011</t>
        </is>
      </c>
      <c r="G26" s="6" t="inlineStr">
        <is>
          <t>Độ bằng phẳng mặt cầu IRI &lt;= 1.5, khe răng lược êm thuận</t>
        </is>
      </c>
    </row>
    <row r="27" ht="20" customHeight="1">
      <c r="A27" s="31" t="inlineStr">
        <is>
          <t>22</t>
        </is>
      </c>
      <c r="B27" s="17" t="inlineStr">
        <is>
          <t>BBNT-22</t>
        </is>
      </c>
      <c r="C27" s="6" t="inlineStr">
        <is>
          <t>Nghiệm thu thử tải tĩnh/động toàn cầu &amp; nghiệm thu hoàn thành đưa vào sử dụng</t>
        </is>
      </c>
      <c r="D27" s="42" t="n">
        <v>1</v>
      </c>
      <c r="E27" s="31" t="inlineStr">
        <is>
          <t>Gói</t>
        </is>
      </c>
      <c r="F27" s="32" t="inlineStr">
        <is>
          <t>Nghị định 207/2026/NĐ-CP</t>
        </is>
      </c>
      <c r="G27" s="6" t="inlineStr">
        <is>
          <t>Độ võng tĩnh f &lt;= f_cp, hệ số xung kích động đạt tiêu chuẩn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140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45" customWidth="1" min="3" max="3"/>
    <col width="18" customWidth="1" min="4" max="4"/>
    <col width="12" customWidth="1" min="5" max="5"/>
    <col width="45" customWidth="1" min="6" max="6"/>
    <col width="12" customWidth="1" min="7" max="7"/>
    <col width="16" customWidth="1" min="8" max="8"/>
    <col width="20" customWidth="1" min="9" max="9"/>
    <col width="24" customWidth="1" min="10" max="10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PHÂN TÍCH ĐỊNH MỨC HAO PHÍ VẬT LIỆU CHO TỪNG HẠNG MỤC CÔNG TÁC WBS</t>
        </is>
      </c>
    </row>
    <row r="4">
      <c r="B4" s="3" t="inlineStr">
        <is>
          <t>Chi tiết sắt thép từng loại đường kính Ø, xi măng, cát, đá, cáp DƯL (Theo Định mức Thông tư 12/2021/TT-BXD)</t>
        </is>
      </c>
    </row>
    <row r="5" ht="28" customHeight="1">
      <c r="A5" s="4" t="inlineStr">
        <is>
          <t>TT</t>
        </is>
      </c>
      <c r="B5" s="4" t="inlineStr">
        <is>
          <t>Mã định mức</t>
        </is>
      </c>
      <c r="C5" s="4" t="inlineStr">
        <is>
          <t>Hạng mục công tác WBS</t>
        </is>
      </c>
      <c r="D5" s="4" t="inlineStr">
        <is>
          <t>Khối lượng công tác</t>
        </is>
      </c>
      <c r="E5" s="4" t="inlineStr">
        <is>
          <t>ĐVT công tác</t>
        </is>
      </c>
      <c r="F5" s="4" t="inlineStr">
        <is>
          <t>Tên quy cách vật tư cấu thành</t>
        </is>
      </c>
      <c r="G5" s="4" t="inlineStr">
        <is>
          <t>ĐVT vật tư</t>
        </is>
      </c>
      <c r="H5" s="4" t="inlineStr">
        <is>
          <t>Định mức cho 1 ĐVT</t>
        </is>
      </c>
      <c r="I5" s="4" t="inlineStr">
        <is>
          <t>Hao phí vật tư hạng mục</t>
        </is>
      </c>
      <c r="J5" s="4" t="inlineStr">
        <is>
          <t>Tiêu chuẩn kỹ thuật áp dụng</t>
        </is>
      </c>
    </row>
    <row r="6">
      <c r="A6" s="52" t="n">
        <v>1</v>
      </c>
      <c r="B6" s="52" t="inlineStr">
        <is>
          <t>AC.11111</t>
        </is>
      </c>
      <c r="C6" s="53" t="inlineStr">
        <is>
          <t>Khoan tạo lỗ cọc khoan nhồi D1200mm (26 cọc L=20m-40m)</t>
        </is>
      </c>
      <c r="D6" s="54">
        <f>QS_DIEN_GIAI_CHI_TIET!J7</f>
        <v/>
      </c>
      <c r="E6" s="52" t="inlineStr">
        <is>
          <t>m</t>
        </is>
      </c>
      <c r="F6" s="55" t="n"/>
      <c r="G6" s="55" t="n"/>
      <c r="H6" s="55" t="n"/>
      <c r="I6" s="55" t="n"/>
      <c r="J6" s="55" t="n"/>
    </row>
    <row r="7">
      <c r="A7" s="19" t="n"/>
      <c r="B7" s="19" t="n"/>
      <c r="C7" s="30" t="inlineStr">
        <is>
          <t xml:space="preserve">   • Bột sét Bentonite tạo vách khoan</t>
        </is>
      </c>
      <c r="D7" s="19" t="n"/>
      <c r="E7" s="19" t="n"/>
      <c r="F7" s="30" t="inlineStr">
        <is>
          <t>Bột sét Bentonite tạo vách khoan</t>
        </is>
      </c>
      <c r="G7" s="31" t="inlineStr">
        <is>
          <t>Tấn</t>
        </is>
      </c>
      <c r="H7" s="56" t="n">
        <v>0.045</v>
      </c>
      <c r="I7" s="42">
        <f>D6*H7</f>
        <v/>
      </c>
      <c r="J7" s="30" t="inlineStr">
        <is>
          <t>TCVN 9395:2012</t>
        </is>
      </c>
    </row>
    <row r="8">
      <c r="A8" s="19" t="n"/>
      <c r="B8" s="19" t="n"/>
      <c r="C8" s="30" t="inlineStr">
        <is>
          <t xml:space="preserve">   • Nước sạch thi công khoan cọc</t>
        </is>
      </c>
      <c r="D8" s="19" t="n"/>
      <c r="E8" s="19" t="n"/>
      <c r="F8" s="30" t="inlineStr">
        <is>
          <t>Nước sạch thi công khoan cọc</t>
        </is>
      </c>
      <c r="G8" s="31" t="inlineStr">
        <is>
          <t>m3</t>
        </is>
      </c>
      <c r="H8" s="56" t="n">
        <v>0.25</v>
      </c>
      <c r="I8" s="42">
        <f>D6*H8</f>
        <v/>
      </c>
      <c r="J8" s="30" t="inlineStr">
        <is>
          <t>TCVN 4506:2012</t>
        </is>
      </c>
    </row>
    <row r="9">
      <c r="A9" s="52" t="n">
        <v>2</v>
      </c>
      <c r="B9" s="52" t="inlineStr">
        <is>
          <t>AC.12111</t>
        </is>
      </c>
      <c r="C9" s="53" t="inlineStr">
        <is>
          <t>Hạ và nhổ ống vách thép dẫn hướng D1300mm d=8mm</t>
        </is>
      </c>
      <c r="D9" s="54">
        <f>QS_DIEN_GIAI_CHI_TIET!J12</f>
        <v/>
      </c>
      <c r="E9" s="52" t="inlineStr">
        <is>
          <t>m</t>
        </is>
      </c>
      <c r="F9" s="55" t="n"/>
      <c r="G9" s="55" t="n"/>
      <c r="H9" s="55" t="n"/>
      <c r="I9" s="55" t="n"/>
      <c r="J9" s="55" t="n"/>
    </row>
    <row r="10">
      <c r="A10" s="19" t="n"/>
      <c r="B10" s="19" t="n"/>
      <c r="C10" s="30" t="inlineStr">
        <is>
          <t xml:space="preserve">   • Ống vách thép dẫn hướng D1300 d=8mm (khấu hao)</t>
        </is>
      </c>
      <c r="D10" s="19" t="n"/>
      <c r="E10" s="19" t="n"/>
      <c r="F10" s="30" t="inlineStr">
        <is>
          <t>Ống vách thép dẫn hướng D1300 d=8mm (khấu hao)</t>
        </is>
      </c>
      <c r="G10" s="31" t="inlineStr">
        <is>
          <t>Tấn</t>
        </is>
      </c>
      <c r="H10" s="56" t="n">
        <v>0.052</v>
      </c>
      <c r="I10" s="42">
        <f>D9*H10</f>
        <v/>
      </c>
      <c r="J10" s="30" t="inlineStr">
        <is>
          <t>TCVN 9395:2012</t>
        </is>
      </c>
    </row>
    <row r="11">
      <c r="A11" s="52" t="n">
        <v>3</v>
      </c>
      <c r="B11" s="52" t="inlineStr">
        <is>
          <t>AF.21111</t>
        </is>
      </c>
      <c r="C11" s="53" t="inlineStr">
        <is>
          <t>Bê tông cọc khoan nhồi C30/37 đổ bằng ống Tremie</t>
        </is>
      </c>
      <c r="D11" s="54">
        <f>QS_DIEN_GIAI_CHI_TIET!J17</f>
        <v/>
      </c>
      <c r="E11" s="52" t="inlineStr">
        <is>
          <t>m3</t>
        </is>
      </c>
      <c r="F11" s="55" t="n"/>
      <c r="G11" s="55" t="n"/>
      <c r="H11" s="55" t="n"/>
      <c r="I11" s="55" t="n"/>
      <c r="J11" s="55" t="n"/>
    </row>
    <row r="12">
      <c r="A12" s="19" t="n"/>
      <c r="B12" s="19" t="n"/>
      <c r="C12" s="30" t="inlineStr">
        <is>
          <t xml:space="preserve">   • Xi măng PCB40 cọc khoan nhồi</t>
        </is>
      </c>
      <c r="D12" s="19" t="n"/>
      <c r="E12" s="19" t="n"/>
      <c r="F12" s="30" t="inlineStr">
        <is>
          <t>Xi măng PCB40 cọc khoan nhồi</t>
        </is>
      </c>
      <c r="G12" s="31" t="inlineStr">
        <is>
          <t>kg</t>
        </is>
      </c>
      <c r="H12" s="42" t="n">
        <v>395</v>
      </c>
      <c r="I12" s="42">
        <f>D11*H12</f>
        <v/>
      </c>
      <c r="J12" s="30" t="inlineStr">
        <is>
          <t>TCVN 6260:2020</t>
        </is>
      </c>
    </row>
    <row r="13">
      <c r="A13" s="19" t="n"/>
      <c r="B13" s="19" t="n"/>
      <c r="C13" s="30" t="inlineStr">
        <is>
          <t xml:space="preserve">   • Cát vàng hạt trung Mk&gt;=2.0</t>
        </is>
      </c>
      <c r="D13" s="19" t="n"/>
      <c r="E13" s="19" t="n"/>
      <c r="F13" s="30" t="inlineStr">
        <is>
          <t>Cát vàng hạt trung Mk&gt;=2.0</t>
        </is>
      </c>
      <c r="G13" s="31" t="inlineStr">
        <is>
          <t>m3</t>
        </is>
      </c>
      <c r="H13" s="56" t="n">
        <v>0.47</v>
      </c>
      <c r="I13" s="42">
        <f>D11*H13</f>
        <v/>
      </c>
      <c r="J13" s="30" t="inlineStr">
        <is>
          <t>TCVN 7570:2006</t>
        </is>
      </c>
    </row>
    <row r="14">
      <c r="A14" s="19" t="n"/>
      <c r="B14" s="19" t="n"/>
      <c r="C14" s="30" t="inlineStr">
        <is>
          <t xml:space="preserve">   • Đá dăm 1x2 sạch chọn lọc</t>
        </is>
      </c>
      <c r="D14" s="19" t="n"/>
      <c r="E14" s="19" t="n"/>
      <c r="F14" s="30" t="inlineStr">
        <is>
          <t>Đá dăm 1x2 sạch chọn lọc</t>
        </is>
      </c>
      <c r="G14" s="31" t="inlineStr">
        <is>
          <t>m3</t>
        </is>
      </c>
      <c r="H14" s="56" t="n">
        <v>0.83</v>
      </c>
      <c r="I14" s="42">
        <f>D11*H14</f>
        <v/>
      </c>
      <c r="J14" s="30" t="inlineStr">
        <is>
          <t>TCVN 7570:2006</t>
        </is>
      </c>
    </row>
    <row r="15">
      <c r="A15" s="19" t="n"/>
      <c r="B15" s="19" t="n"/>
      <c r="C15" s="30" t="inlineStr">
        <is>
          <t xml:space="preserve">   • Nước sạch trộn bê tông</t>
        </is>
      </c>
      <c r="D15" s="19" t="n"/>
      <c r="E15" s="19" t="n"/>
      <c r="F15" s="30" t="inlineStr">
        <is>
          <t>Nước sạch trộn bê tông</t>
        </is>
      </c>
      <c r="G15" s="31" t="inlineStr">
        <is>
          <t>Lít</t>
        </is>
      </c>
      <c r="H15" s="42" t="n">
        <v>185</v>
      </c>
      <c r="I15" s="42">
        <f>D11*H15</f>
        <v/>
      </c>
      <c r="J15" s="30" t="inlineStr">
        <is>
          <t>TCVN 4506:2012</t>
        </is>
      </c>
    </row>
    <row r="16">
      <c r="A16" s="19" t="n"/>
      <c r="B16" s="19" t="n"/>
      <c r="C16" s="30" t="inlineStr">
        <is>
          <t xml:space="preserve">   • Phụ gia hoá dẻo chậm đông kết</t>
        </is>
      </c>
      <c r="D16" s="19" t="n"/>
      <c r="E16" s="19" t="n"/>
      <c r="F16" s="30" t="inlineStr">
        <is>
          <t>Phụ gia hoá dẻo chậm đông kết</t>
        </is>
      </c>
      <c r="G16" s="31" t="inlineStr">
        <is>
          <t>kg</t>
        </is>
      </c>
      <c r="H16" s="42" t="n">
        <v>4.2</v>
      </c>
      <c r="I16" s="42">
        <f>D11*H16</f>
        <v/>
      </c>
      <c r="J16" s="30" t="inlineStr">
        <is>
          <t>ASTM C494 Type G</t>
        </is>
      </c>
    </row>
    <row r="17">
      <c r="A17" s="52" t="n">
        <v>4</v>
      </c>
      <c r="B17" s="52" t="inlineStr">
        <is>
          <t>AF.61111</t>
        </is>
      </c>
      <c r="C17" s="53" t="inlineStr">
        <is>
          <t>Cốt thép cọc khoan nhồi D1200mm (Lồng thép)</t>
        </is>
      </c>
      <c r="D17" s="54">
        <f>QS_DIEN_GIAI_CHI_TIET!J22</f>
        <v/>
      </c>
      <c r="E17" s="52" t="inlineStr">
        <is>
          <t>Tấn</t>
        </is>
      </c>
      <c r="F17" s="55" t="n"/>
      <c r="G17" s="55" t="n"/>
      <c r="H17" s="55" t="n"/>
      <c r="I17" s="55" t="n"/>
      <c r="J17" s="55" t="n"/>
    </row>
    <row r="18">
      <c r="A18" s="19" t="n"/>
      <c r="B18" s="19" t="n"/>
      <c r="C18" s="30" t="inlineStr">
        <is>
          <t xml:space="preserve">   • Thép chủ cọc nhồi vằn Ø25 (CB500-V)</t>
        </is>
      </c>
      <c r="D18" s="19" t="n"/>
      <c r="E18" s="19" t="n"/>
      <c r="F18" s="30" t="inlineStr">
        <is>
          <t>Thép chủ cọc nhồi vằn Ø25 (CB500-V)</t>
        </is>
      </c>
      <c r="G18" s="31" t="inlineStr">
        <is>
          <t>Tấn</t>
        </is>
      </c>
      <c r="H18" s="56" t="n">
        <v>0.785</v>
      </c>
      <c r="I18" s="42">
        <f>D17*H18</f>
        <v/>
      </c>
      <c r="J18" s="30" t="inlineStr">
        <is>
          <t>TCVN 1651:2018</t>
        </is>
      </c>
    </row>
    <row r="19">
      <c r="A19" s="19" t="n"/>
      <c r="B19" s="19" t="n"/>
      <c r="C19" s="30" t="inlineStr">
        <is>
          <t xml:space="preserve">   • Thép đai tăng cường vằn Ø16 (CB400-V)</t>
        </is>
      </c>
      <c r="D19" s="19" t="n"/>
      <c r="E19" s="19" t="n"/>
      <c r="F19" s="30" t="inlineStr">
        <is>
          <t>Thép đai tăng cường vằn Ø16 (CB400-V)</t>
        </is>
      </c>
      <c r="G19" s="31" t="inlineStr">
        <is>
          <t>Tấn</t>
        </is>
      </c>
      <c r="H19" s="56" t="n">
        <v>0.12</v>
      </c>
      <c r="I19" s="42">
        <f>D17*H19</f>
        <v/>
      </c>
      <c r="J19" s="30" t="inlineStr">
        <is>
          <t>TCVN 1651:2018</t>
        </is>
      </c>
    </row>
    <row r="20">
      <c r="A20" s="19" t="n"/>
      <c r="B20" s="19" t="n"/>
      <c r="C20" s="30" t="inlineStr">
        <is>
          <t xml:space="preserve">   • Thép đai xoắn liên tục tròn trơn Ø10 (CB240-T)</t>
        </is>
      </c>
      <c r="D20" s="19" t="n"/>
      <c r="E20" s="19" t="n"/>
      <c r="F20" s="30" t="inlineStr">
        <is>
          <t>Thép đai xoắn liên tục tròn trơn Ø10 (CB240-T)</t>
        </is>
      </c>
      <c r="G20" s="31" t="inlineStr">
        <is>
          <t>Tấn</t>
        </is>
      </c>
      <c r="H20" s="56" t="n">
        <v>0.095</v>
      </c>
      <c r="I20" s="42">
        <f>D17*H20</f>
        <v/>
      </c>
      <c r="J20" s="30" t="inlineStr">
        <is>
          <t>TCVN 1651:2018</t>
        </is>
      </c>
    </row>
    <row r="21">
      <c r="A21" s="19" t="n"/>
      <c r="B21" s="19" t="n"/>
      <c r="C21" s="30" t="inlineStr">
        <is>
          <t xml:space="preserve">   • Ống siêu âm cọc nhồi thép Ø60x2</t>
        </is>
      </c>
      <c r="D21" s="19" t="n"/>
      <c r="E21" s="19" t="n"/>
      <c r="F21" s="30" t="inlineStr">
        <is>
          <t>Ống siêu âm cọc nhồi thép Ø60x2</t>
        </is>
      </c>
      <c r="G21" s="31" t="inlineStr">
        <is>
          <t>m</t>
        </is>
      </c>
      <c r="H21" s="42" t="n">
        <v>36.5</v>
      </c>
      <c r="I21" s="42">
        <f>D17*H21</f>
        <v/>
      </c>
      <c r="J21" s="30" t="inlineStr">
        <is>
          <t>ASTM A53 / TCVN 9395</t>
        </is>
      </c>
    </row>
    <row r="22">
      <c r="A22" s="19" t="n"/>
      <c r="B22" s="19" t="n"/>
      <c r="C22" s="30" t="inlineStr">
        <is>
          <t xml:space="preserve">   • Dây thép buộc 1 ly</t>
        </is>
      </c>
      <c r="D22" s="19" t="n"/>
      <c r="E22" s="19" t="n"/>
      <c r="F22" s="30" t="inlineStr">
        <is>
          <t>Dây thép buộc 1 ly</t>
        </is>
      </c>
      <c r="G22" s="31" t="inlineStr">
        <is>
          <t>kg</t>
        </is>
      </c>
      <c r="H22" s="42" t="n">
        <v>15</v>
      </c>
      <c r="I22" s="42">
        <f>D17*H22</f>
        <v/>
      </c>
      <c r="J22" s="30" t="inlineStr">
        <is>
          <t>TCVN 1651:2018</t>
        </is>
      </c>
    </row>
    <row r="23">
      <c r="A23" s="19" t="n"/>
      <c r="B23" s="19" t="n"/>
      <c r="C23" s="30" t="inlineStr">
        <is>
          <t xml:space="preserve">   • Que hàn điện E42/E50</t>
        </is>
      </c>
      <c r="D23" s="19" t="n"/>
      <c r="E23" s="19" t="n"/>
      <c r="F23" s="30" t="inlineStr">
        <is>
          <t>Que hàn điện E42/E50</t>
        </is>
      </c>
      <c r="G23" s="31" t="inlineStr">
        <is>
          <t>kg</t>
        </is>
      </c>
      <c r="H23" s="42" t="n">
        <v>8</v>
      </c>
      <c r="I23" s="42">
        <f>D17*H23</f>
        <v/>
      </c>
      <c r="J23" s="30" t="inlineStr">
        <is>
          <t>TCVN 3223:2000</t>
        </is>
      </c>
    </row>
    <row r="24">
      <c r="A24" s="52" t="n">
        <v>5</v>
      </c>
      <c r="B24" s="52" t="inlineStr">
        <is>
          <t>AF.11111</t>
        </is>
      </c>
      <c r="C24" s="53" t="inlineStr">
        <is>
          <t>Bê tông lót đáy bệ móng mác C10 dày 10cm</t>
        </is>
      </c>
      <c r="D24" s="54">
        <f>QS_DIEN_GIAI_CHI_TIET!J34</f>
        <v/>
      </c>
      <c r="E24" s="52" t="inlineStr">
        <is>
          <t>m3</t>
        </is>
      </c>
      <c r="F24" s="55" t="n"/>
      <c r="G24" s="55" t="n"/>
      <c r="H24" s="55" t="n"/>
      <c r="I24" s="55" t="n"/>
      <c r="J24" s="55" t="n"/>
    </row>
    <row r="25">
      <c r="A25" s="19" t="n"/>
      <c r="B25" s="19" t="n"/>
      <c r="C25" s="30" t="inlineStr">
        <is>
          <t xml:space="preserve">   • Xi măng PCB40 lót móng</t>
        </is>
      </c>
      <c r="D25" s="19" t="n"/>
      <c r="E25" s="19" t="n"/>
      <c r="F25" s="30" t="inlineStr">
        <is>
          <t>Xi măng PCB40 lót móng</t>
        </is>
      </c>
      <c r="G25" s="31" t="inlineStr">
        <is>
          <t>kg</t>
        </is>
      </c>
      <c r="H25" s="42" t="n">
        <v>240</v>
      </c>
      <c r="I25" s="42">
        <f>D24*H25</f>
        <v/>
      </c>
      <c r="J25" s="30" t="inlineStr">
        <is>
          <t>TCVN 6260:2020</t>
        </is>
      </c>
    </row>
    <row r="26">
      <c r="A26" s="19" t="n"/>
      <c r="B26" s="19" t="n"/>
      <c r="C26" s="30" t="inlineStr">
        <is>
          <t xml:space="preserve">   • Cát vàng xây dựng</t>
        </is>
      </c>
      <c r="D26" s="19" t="n"/>
      <c r="E26" s="19" t="n"/>
      <c r="F26" s="30" t="inlineStr">
        <is>
          <t>Cát vàng xây dựng</t>
        </is>
      </c>
      <c r="G26" s="31" t="inlineStr">
        <is>
          <t>m3</t>
        </is>
      </c>
      <c r="H26" s="56" t="n">
        <v>0.51</v>
      </c>
      <c r="I26" s="42">
        <f>D24*H26</f>
        <v/>
      </c>
      <c r="J26" s="30" t="inlineStr">
        <is>
          <t>TCVN 7570:2006</t>
        </is>
      </c>
    </row>
    <row r="27">
      <c r="A27" s="19" t="n"/>
      <c r="B27" s="19" t="n"/>
      <c r="C27" s="30" t="inlineStr">
        <is>
          <t xml:space="preserve">   • Đá dăm 1x2</t>
        </is>
      </c>
      <c r="D27" s="19" t="n"/>
      <c r="E27" s="19" t="n"/>
      <c r="F27" s="30" t="inlineStr">
        <is>
          <t>Đá dăm 1x2</t>
        </is>
      </c>
      <c r="G27" s="31" t="inlineStr">
        <is>
          <t>m3</t>
        </is>
      </c>
      <c r="H27" s="56" t="n">
        <v>0.87</v>
      </c>
      <c r="I27" s="42">
        <f>D24*H27</f>
        <v/>
      </c>
      <c r="J27" s="30" t="inlineStr">
        <is>
          <t>TCVN 7570:2006</t>
        </is>
      </c>
    </row>
    <row r="28">
      <c r="A28" s="19" t="n"/>
      <c r="B28" s="19" t="n"/>
      <c r="C28" s="30" t="inlineStr">
        <is>
          <t xml:space="preserve">   • Nước sạch trộn bê tông</t>
        </is>
      </c>
      <c r="D28" s="19" t="n"/>
      <c r="E28" s="19" t="n"/>
      <c r="F28" s="30" t="inlineStr">
        <is>
          <t>Nước sạch trộn bê tông</t>
        </is>
      </c>
      <c r="G28" s="31" t="inlineStr">
        <is>
          <t>Lít</t>
        </is>
      </c>
      <c r="H28" s="42" t="n">
        <v>175</v>
      </c>
      <c r="I28" s="42">
        <f>D24*H28</f>
        <v/>
      </c>
      <c r="J28" s="30" t="inlineStr">
        <is>
          <t>TCVN 4506:2012</t>
        </is>
      </c>
    </row>
    <row r="29">
      <c r="A29" s="52" t="n">
        <v>6</v>
      </c>
      <c r="B29" s="52" t="inlineStr">
        <is>
          <t>AF.12111</t>
        </is>
      </c>
      <c r="C29" s="53" t="inlineStr">
        <is>
          <t>Bê tông bệ móng mố M1, M2 và bệ trụ T1, T2 mác C30</t>
        </is>
      </c>
      <c r="D29" s="54">
        <f>QS_DIEN_GIAI_CHI_TIET!J39</f>
        <v/>
      </c>
      <c r="E29" s="52" t="inlineStr">
        <is>
          <t>m3</t>
        </is>
      </c>
      <c r="F29" s="55" t="n"/>
      <c r="G29" s="55" t="n"/>
      <c r="H29" s="55" t="n"/>
      <c r="I29" s="55" t="n"/>
      <c r="J29" s="55" t="n"/>
    </row>
    <row r="30">
      <c r="A30" s="19" t="n"/>
      <c r="B30" s="19" t="n"/>
      <c r="C30" s="30" t="inlineStr">
        <is>
          <t xml:space="preserve">   • Xi măng PCB40 bệ móng</t>
        </is>
      </c>
      <c r="D30" s="19" t="n"/>
      <c r="E30" s="19" t="n"/>
      <c r="F30" s="30" t="inlineStr">
        <is>
          <t>Xi măng PCB40 bệ móng</t>
        </is>
      </c>
      <c r="G30" s="31" t="inlineStr">
        <is>
          <t>kg</t>
        </is>
      </c>
      <c r="H30" s="42" t="n">
        <v>385</v>
      </c>
      <c r="I30" s="42">
        <f>D29*H30</f>
        <v/>
      </c>
      <c r="J30" s="30" t="inlineStr">
        <is>
          <t>TCVN 6260:2020</t>
        </is>
      </c>
    </row>
    <row r="31">
      <c r="A31" s="19" t="n"/>
      <c r="B31" s="19" t="n"/>
      <c r="C31" s="30" t="inlineStr">
        <is>
          <t xml:space="preserve">   • Cát vàng sàng rửa Mk&gt;=2.0</t>
        </is>
      </c>
      <c r="D31" s="19" t="n"/>
      <c r="E31" s="19" t="n"/>
      <c r="F31" s="30" t="inlineStr">
        <is>
          <t>Cát vàng sàng rửa Mk&gt;=2.0</t>
        </is>
      </c>
      <c r="G31" s="31" t="inlineStr">
        <is>
          <t>m3</t>
        </is>
      </c>
      <c r="H31" s="56" t="n">
        <v>0.46</v>
      </c>
      <c r="I31" s="42">
        <f>D29*H31</f>
        <v/>
      </c>
      <c r="J31" s="30" t="inlineStr">
        <is>
          <t>TCVN 7570:2006</t>
        </is>
      </c>
    </row>
    <row r="32">
      <c r="A32" s="19" t="n"/>
      <c r="B32" s="19" t="n"/>
      <c r="C32" s="30" t="inlineStr">
        <is>
          <t xml:space="preserve">   • Đá dăm 1x2 sạch</t>
        </is>
      </c>
      <c r="D32" s="19" t="n"/>
      <c r="E32" s="19" t="n"/>
      <c r="F32" s="30" t="inlineStr">
        <is>
          <t>Đá dăm 1x2 sạch</t>
        </is>
      </c>
      <c r="G32" s="31" t="inlineStr">
        <is>
          <t>m3</t>
        </is>
      </c>
      <c r="H32" s="56" t="n">
        <v>0.84</v>
      </c>
      <c r="I32" s="42">
        <f>D29*H32</f>
        <v/>
      </c>
      <c r="J32" s="30" t="inlineStr">
        <is>
          <t>TCVN 7570:2006</t>
        </is>
      </c>
    </row>
    <row r="33">
      <c r="A33" s="19" t="n"/>
      <c r="B33" s="19" t="n"/>
      <c r="C33" s="30" t="inlineStr">
        <is>
          <t xml:space="preserve">   • Nước sạch trộn bê tông</t>
        </is>
      </c>
      <c r="D33" s="19" t="n"/>
      <c r="E33" s="19" t="n"/>
      <c r="F33" s="30" t="inlineStr">
        <is>
          <t>Nước sạch trộn bê tông</t>
        </is>
      </c>
      <c r="G33" s="31" t="inlineStr">
        <is>
          <t>Lít</t>
        </is>
      </c>
      <c r="H33" s="42" t="n">
        <v>180</v>
      </c>
      <c r="I33" s="42">
        <f>D29*H33</f>
        <v/>
      </c>
      <c r="J33" s="30" t="inlineStr">
        <is>
          <t>TCVN 4506:2012</t>
        </is>
      </c>
    </row>
    <row r="34">
      <c r="A34" s="19" t="n"/>
      <c r="B34" s="19" t="n"/>
      <c r="C34" s="30" t="inlineStr">
        <is>
          <t xml:space="preserve">   • Phụ gia siêu dẻo giảm nước</t>
        </is>
      </c>
      <c r="D34" s="19" t="n"/>
      <c r="E34" s="19" t="n"/>
      <c r="F34" s="30" t="inlineStr">
        <is>
          <t>Phụ gia siêu dẻo giảm nước</t>
        </is>
      </c>
      <c r="G34" s="31" t="inlineStr">
        <is>
          <t>kg</t>
        </is>
      </c>
      <c r="H34" s="42" t="n">
        <v>3.8</v>
      </c>
      <c r="I34" s="42">
        <f>D29*H34</f>
        <v/>
      </c>
      <c r="J34" s="30" t="inlineStr">
        <is>
          <t>ASTM C494 Type F</t>
        </is>
      </c>
    </row>
    <row r="35">
      <c r="A35" s="52" t="n">
        <v>7</v>
      </c>
      <c r="B35" s="52" t="inlineStr">
        <is>
          <t>AF.12211</t>
        </is>
      </c>
      <c r="C35" s="53" t="inlineStr">
        <is>
          <t>Bê tông thân mố chân dê M1 và mố chữ U M2 mác C30</t>
        </is>
      </c>
      <c r="D35" s="54">
        <f>QS_DIEN_GIAI_CHI_TIET!J44</f>
        <v/>
      </c>
      <c r="E35" s="52" t="inlineStr">
        <is>
          <t>m3</t>
        </is>
      </c>
      <c r="F35" s="55" t="n"/>
      <c r="G35" s="55" t="n"/>
      <c r="H35" s="55" t="n"/>
      <c r="I35" s="55" t="n"/>
      <c r="J35" s="55" t="n"/>
    </row>
    <row r="36">
      <c r="A36" s="19" t="n"/>
      <c r="B36" s="19" t="n"/>
      <c r="C36" s="30" t="inlineStr">
        <is>
          <t xml:space="preserve">   • Xi măng PCB40 thân mố</t>
        </is>
      </c>
      <c r="D36" s="19" t="n"/>
      <c r="E36" s="19" t="n"/>
      <c r="F36" s="30" t="inlineStr">
        <is>
          <t>Xi măng PCB40 thân mố</t>
        </is>
      </c>
      <c r="G36" s="31" t="inlineStr">
        <is>
          <t>kg</t>
        </is>
      </c>
      <c r="H36" s="42" t="n">
        <v>385</v>
      </c>
      <c r="I36" s="42">
        <f>D35*H36</f>
        <v/>
      </c>
      <c r="J36" s="30" t="inlineStr">
        <is>
          <t>TCVN 6260:2020</t>
        </is>
      </c>
    </row>
    <row r="37">
      <c r="A37" s="19" t="n"/>
      <c r="B37" s="19" t="n"/>
      <c r="C37" s="30" t="inlineStr">
        <is>
          <t xml:space="preserve">   • Cát vàng sàng rửa Mk&gt;=2.0</t>
        </is>
      </c>
      <c r="D37" s="19" t="n"/>
      <c r="E37" s="19" t="n"/>
      <c r="F37" s="30" t="inlineStr">
        <is>
          <t>Cát vàng sàng rửa Mk&gt;=2.0</t>
        </is>
      </c>
      <c r="G37" s="31" t="inlineStr">
        <is>
          <t>m3</t>
        </is>
      </c>
      <c r="H37" s="56" t="n">
        <v>0.46</v>
      </c>
      <c r="I37" s="42">
        <f>D35*H37</f>
        <v/>
      </c>
      <c r="J37" s="30" t="inlineStr">
        <is>
          <t>TCVN 7570:2006</t>
        </is>
      </c>
    </row>
    <row r="38">
      <c r="A38" s="19" t="n"/>
      <c r="B38" s="19" t="n"/>
      <c r="C38" s="30" t="inlineStr">
        <is>
          <t xml:space="preserve">   • Đá dăm 1x2 sạch</t>
        </is>
      </c>
      <c r="D38" s="19" t="n"/>
      <c r="E38" s="19" t="n"/>
      <c r="F38" s="30" t="inlineStr">
        <is>
          <t>Đá dăm 1x2 sạch</t>
        </is>
      </c>
      <c r="G38" s="31" t="inlineStr">
        <is>
          <t>m3</t>
        </is>
      </c>
      <c r="H38" s="56" t="n">
        <v>0.84</v>
      </c>
      <c r="I38" s="42">
        <f>D35*H38</f>
        <v/>
      </c>
      <c r="J38" s="30" t="inlineStr">
        <is>
          <t>TCVN 7570:2006</t>
        </is>
      </c>
    </row>
    <row r="39">
      <c r="A39" s="19" t="n"/>
      <c r="B39" s="19" t="n"/>
      <c r="C39" s="30" t="inlineStr">
        <is>
          <t xml:space="preserve">   • Nước sạch trộn bê tông</t>
        </is>
      </c>
      <c r="D39" s="19" t="n"/>
      <c r="E39" s="19" t="n"/>
      <c r="F39" s="30" t="inlineStr">
        <is>
          <t>Nước sạch trộn bê tông</t>
        </is>
      </c>
      <c r="G39" s="31" t="inlineStr">
        <is>
          <t>Lít</t>
        </is>
      </c>
      <c r="H39" s="42" t="n">
        <v>180</v>
      </c>
      <c r="I39" s="42">
        <f>D35*H39</f>
        <v/>
      </c>
      <c r="J39" s="30" t="inlineStr">
        <is>
          <t>TCVN 4506:2012</t>
        </is>
      </c>
    </row>
    <row r="40">
      <c r="A40" s="19" t="n"/>
      <c r="B40" s="19" t="n"/>
      <c r="C40" s="30" t="inlineStr">
        <is>
          <t xml:space="preserve">   • Phụ gia siêu dẻo giảm nước</t>
        </is>
      </c>
      <c r="D40" s="19" t="n"/>
      <c r="E40" s="19" t="n"/>
      <c r="F40" s="30" t="inlineStr">
        <is>
          <t>Phụ gia siêu dẻo giảm nước</t>
        </is>
      </c>
      <c r="G40" s="31" t="inlineStr">
        <is>
          <t>kg</t>
        </is>
      </c>
      <c r="H40" s="42" t="n">
        <v>3.8</v>
      </c>
      <c r="I40" s="42">
        <f>D35*H40</f>
        <v/>
      </c>
      <c r="J40" s="30" t="inlineStr">
        <is>
          <t>ASTM C494 Type F</t>
        </is>
      </c>
    </row>
    <row r="41">
      <c r="A41" s="52" t="n">
        <v>8</v>
      </c>
      <c r="B41" s="52" t="inlineStr">
        <is>
          <t>AF.12311</t>
        </is>
      </c>
      <c r="C41" s="53" t="inlineStr">
        <is>
          <t>Bê tông tường cánh và tường đỉnh mố M1, M2 mác C30</t>
        </is>
      </c>
      <c r="D41" s="54">
        <f>QS_DIEN_GIAI_CHI_TIET!J47</f>
        <v/>
      </c>
      <c r="E41" s="52" t="inlineStr">
        <is>
          <t>m3</t>
        </is>
      </c>
      <c r="F41" s="55" t="n"/>
      <c r="G41" s="55" t="n"/>
      <c r="H41" s="55" t="n"/>
      <c r="I41" s="55" t="n"/>
      <c r="J41" s="55" t="n"/>
    </row>
    <row r="42">
      <c r="A42" s="19" t="n"/>
      <c r="B42" s="19" t="n"/>
      <c r="C42" s="30" t="inlineStr">
        <is>
          <t xml:space="preserve">   • Xi măng PCB40 tường cánh</t>
        </is>
      </c>
      <c r="D42" s="19" t="n"/>
      <c r="E42" s="19" t="n"/>
      <c r="F42" s="30" t="inlineStr">
        <is>
          <t>Xi măng PCB40 tường cánh</t>
        </is>
      </c>
      <c r="G42" s="31" t="inlineStr">
        <is>
          <t>kg</t>
        </is>
      </c>
      <c r="H42" s="42" t="n">
        <v>385</v>
      </c>
      <c r="I42" s="42">
        <f>D41*H42</f>
        <v/>
      </c>
      <c r="J42" s="30" t="inlineStr">
        <is>
          <t>TCVN 6260:2020</t>
        </is>
      </c>
    </row>
    <row r="43">
      <c r="A43" s="19" t="n"/>
      <c r="B43" s="19" t="n"/>
      <c r="C43" s="30" t="inlineStr">
        <is>
          <t xml:space="preserve">   • Cát vàng sàng rửa Mk&gt;=2.0</t>
        </is>
      </c>
      <c r="D43" s="19" t="n"/>
      <c r="E43" s="19" t="n"/>
      <c r="F43" s="30" t="inlineStr">
        <is>
          <t>Cát vàng sàng rửa Mk&gt;=2.0</t>
        </is>
      </c>
      <c r="G43" s="31" t="inlineStr">
        <is>
          <t>m3</t>
        </is>
      </c>
      <c r="H43" s="56" t="n">
        <v>0.46</v>
      </c>
      <c r="I43" s="42">
        <f>D41*H43</f>
        <v/>
      </c>
      <c r="J43" s="30" t="inlineStr">
        <is>
          <t>TCVN 7570:2006</t>
        </is>
      </c>
    </row>
    <row r="44">
      <c r="A44" s="19" t="n"/>
      <c r="B44" s="19" t="n"/>
      <c r="C44" s="30" t="inlineStr">
        <is>
          <t xml:space="preserve">   • Đá dăm 1x2 sạch</t>
        </is>
      </c>
      <c r="D44" s="19" t="n"/>
      <c r="E44" s="19" t="n"/>
      <c r="F44" s="30" t="inlineStr">
        <is>
          <t>Đá dăm 1x2 sạch</t>
        </is>
      </c>
      <c r="G44" s="31" t="inlineStr">
        <is>
          <t>m3</t>
        </is>
      </c>
      <c r="H44" s="56" t="n">
        <v>0.84</v>
      </c>
      <c r="I44" s="42">
        <f>D41*H44</f>
        <v/>
      </c>
      <c r="J44" s="30" t="inlineStr">
        <is>
          <t>TCVN 7570:2006</t>
        </is>
      </c>
    </row>
    <row r="45">
      <c r="A45" s="19" t="n"/>
      <c r="B45" s="19" t="n"/>
      <c r="C45" s="30" t="inlineStr">
        <is>
          <t xml:space="preserve">   • Nước sạch trộn bê tông</t>
        </is>
      </c>
      <c r="D45" s="19" t="n"/>
      <c r="E45" s="19" t="n"/>
      <c r="F45" s="30" t="inlineStr">
        <is>
          <t>Nước sạch trộn bê tông</t>
        </is>
      </c>
      <c r="G45" s="31" t="inlineStr">
        <is>
          <t>Lít</t>
        </is>
      </c>
      <c r="H45" s="42" t="n">
        <v>180</v>
      </c>
      <c r="I45" s="42">
        <f>D41*H45</f>
        <v/>
      </c>
      <c r="J45" s="30" t="inlineStr">
        <is>
          <t>TCVN 4506:2012</t>
        </is>
      </c>
    </row>
    <row r="46">
      <c r="A46" s="19" t="n"/>
      <c r="B46" s="19" t="n"/>
      <c r="C46" s="30" t="inlineStr">
        <is>
          <t xml:space="preserve">   • Phụ gia siêu dẻo giảm nước</t>
        </is>
      </c>
      <c r="D46" s="19" t="n"/>
      <c r="E46" s="19" t="n"/>
      <c r="F46" s="30" t="inlineStr">
        <is>
          <t>Phụ gia siêu dẻo giảm nước</t>
        </is>
      </c>
      <c r="G46" s="31" t="inlineStr">
        <is>
          <t>kg</t>
        </is>
      </c>
      <c r="H46" s="42" t="n">
        <v>3.8</v>
      </c>
      <c r="I46" s="42">
        <f>D41*H46</f>
        <v/>
      </c>
      <c r="J46" s="30" t="inlineStr">
        <is>
          <t>ASTM C494 Type F</t>
        </is>
      </c>
    </row>
    <row r="47">
      <c r="A47" s="52" t="n">
        <v>9</v>
      </c>
      <c r="B47" s="52" t="inlineStr">
        <is>
          <t>AF.13111</t>
        </is>
      </c>
      <c r="C47" s="53" t="inlineStr">
        <is>
          <t>Bê tông thân đặc trụ T1 và T2 mác C30</t>
        </is>
      </c>
      <c r="D47" s="54">
        <f>QS_DIEN_GIAI_CHI_TIET!J50</f>
        <v/>
      </c>
      <c r="E47" s="52" t="inlineStr">
        <is>
          <t>m3</t>
        </is>
      </c>
      <c r="F47" s="55" t="n"/>
      <c r="G47" s="55" t="n"/>
      <c r="H47" s="55" t="n"/>
      <c r="I47" s="55" t="n"/>
      <c r="J47" s="55" t="n"/>
    </row>
    <row r="48">
      <c r="A48" s="19" t="n"/>
      <c r="B48" s="19" t="n"/>
      <c r="C48" s="30" t="inlineStr">
        <is>
          <t xml:space="preserve">   • Xi măng PCB40 thân trụ</t>
        </is>
      </c>
      <c r="D48" s="19" t="n"/>
      <c r="E48" s="19" t="n"/>
      <c r="F48" s="30" t="inlineStr">
        <is>
          <t>Xi măng PCB40 thân trụ</t>
        </is>
      </c>
      <c r="G48" s="31" t="inlineStr">
        <is>
          <t>kg</t>
        </is>
      </c>
      <c r="H48" s="42" t="n">
        <v>385</v>
      </c>
      <c r="I48" s="42">
        <f>D47*H48</f>
        <v/>
      </c>
      <c r="J48" s="30" t="inlineStr">
        <is>
          <t>TCVN 6260:2020</t>
        </is>
      </c>
    </row>
    <row r="49">
      <c r="A49" s="19" t="n"/>
      <c r="B49" s="19" t="n"/>
      <c r="C49" s="30" t="inlineStr">
        <is>
          <t xml:space="preserve">   • Cát vàng sàng rửa Mk&gt;=2.0</t>
        </is>
      </c>
      <c r="D49" s="19" t="n"/>
      <c r="E49" s="19" t="n"/>
      <c r="F49" s="30" t="inlineStr">
        <is>
          <t>Cát vàng sàng rửa Mk&gt;=2.0</t>
        </is>
      </c>
      <c r="G49" s="31" t="inlineStr">
        <is>
          <t>m3</t>
        </is>
      </c>
      <c r="H49" s="56" t="n">
        <v>0.46</v>
      </c>
      <c r="I49" s="42">
        <f>D47*H49</f>
        <v/>
      </c>
      <c r="J49" s="30" t="inlineStr">
        <is>
          <t>TCVN 7570:2006</t>
        </is>
      </c>
    </row>
    <row r="50">
      <c r="A50" s="19" t="n"/>
      <c r="B50" s="19" t="n"/>
      <c r="C50" s="30" t="inlineStr">
        <is>
          <t xml:space="preserve">   • Đá dăm 1x2 sạch</t>
        </is>
      </c>
      <c r="D50" s="19" t="n"/>
      <c r="E50" s="19" t="n"/>
      <c r="F50" s="30" t="inlineStr">
        <is>
          <t>Đá dăm 1x2 sạch</t>
        </is>
      </c>
      <c r="G50" s="31" t="inlineStr">
        <is>
          <t>m3</t>
        </is>
      </c>
      <c r="H50" s="56" t="n">
        <v>0.84</v>
      </c>
      <c r="I50" s="42">
        <f>D47*H50</f>
        <v/>
      </c>
      <c r="J50" s="30" t="inlineStr">
        <is>
          <t>TCVN 7570:2006</t>
        </is>
      </c>
    </row>
    <row r="51">
      <c r="A51" s="19" t="n"/>
      <c r="B51" s="19" t="n"/>
      <c r="C51" s="30" t="inlineStr">
        <is>
          <t xml:space="preserve">   • Nước sạch trộn bê tông</t>
        </is>
      </c>
      <c r="D51" s="19" t="n"/>
      <c r="E51" s="19" t="n"/>
      <c r="F51" s="30" t="inlineStr">
        <is>
          <t>Nước sạch trộn bê tông</t>
        </is>
      </c>
      <c r="G51" s="31" t="inlineStr">
        <is>
          <t>Lít</t>
        </is>
      </c>
      <c r="H51" s="42" t="n">
        <v>180</v>
      </c>
      <c r="I51" s="42">
        <f>D47*H51</f>
        <v/>
      </c>
      <c r="J51" s="30" t="inlineStr">
        <is>
          <t>TCVN 4506:2012</t>
        </is>
      </c>
    </row>
    <row r="52">
      <c r="A52" s="19" t="n"/>
      <c r="B52" s="19" t="n"/>
      <c r="C52" s="30" t="inlineStr">
        <is>
          <t xml:space="preserve">   • Phụ gia siêu dẻo giảm nước</t>
        </is>
      </c>
      <c r="D52" s="19" t="n"/>
      <c r="E52" s="19" t="n"/>
      <c r="F52" s="30" t="inlineStr">
        <is>
          <t>Phụ gia siêu dẻo giảm nước</t>
        </is>
      </c>
      <c r="G52" s="31" t="inlineStr">
        <is>
          <t>kg</t>
        </is>
      </c>
      <c r="H52" s="42" t="n">
        <v>3.8</v>
      </c>
      <c r="I52" s="42">
        <f>D47*H52</f>
        <v/>
      </c>
      <c r="J52" s="30" t="inlineStr">
        <is>
          <t>ASTM C494 Type F</t>
        </is>
      </c>
    </row>
    <row r="53">
      <c r="A53" s="52" t="n">
        <v>10</v>
      </c>
      <c r="B53" s="52" t="inlineStr">
        <is>
          <t>AF.13211</t>
        </is>
      </c>
      <c r="C53" s="53" t="inlineStr">
        <is>
          <t>Bê tông xà mũ trụ T1, T2 mác C35</t>
        </is>
      </c>
      <c r="D53" s="54">
        <f>QS_DIEN_GIAI_CHI_TIET!J53</f>
        <v/>
      </c>
      <c r="E53" s="52" t="inlineStr">
        <is>
          <t>m3</t>
        </is>
      </c>
      <c r="F53" s="55" t="n"/>
      <c r="G53" s="55" t="n"/>
      <c r="H53" s="55" t="n"/>
      <c r="I53" s="55" t="n"/>
      <c r="J53" s="55" t="n"/>
    </row>
    <row r="54">
      <c r="A54" s="19" t="n"/>
      <c r="B54" s="19" t="n"/>
      <c r="C54" s="30" t="inlineStr">
        <is>
          <t xml:space="preserve">   • Xi măng PCB40 xà mũ trụ</t>
        </is>
      </c>
      <c r="D54" s="19" t="n"/>
      <c r="E54" s="19" t="n"/>
      <c r="F54" s="30" t="inlineStr">
        <is>
          <t>Xi măng PCB40 xà mũ trụ</t>
        </is>
      </c>
      <c r="G54" s="31" t="inlineStr">
        <is>
          <t>kg</t>
        </is>
      </c>
      <c r="H54" s="42" t="n">
        <v>425</v>
      </c>
      <c r="I54" s="42">
        <f>D53*H54</f>
        <v/>
      </c>
      <c r="J54" s="30" t="inlineStr">
        <is>
          <t>TCVN 6260:2020</t>
        </is>
      </c>
    </row>
    <row r="55">
      <c r="A55" s="19" t="n"/>
      <c r="B55" s="19" t="n"/>
      <c r="C55" s="30" t="inlineStr">
        <is>
          <t xml:space="preserve">   • Cát vàng sàng rửa Mk&gt;=2.0</t>
        </is>
      </c>
      <c r="D55" s="19" t="n"/>
      <c r="E55" s="19" t="n"/>
      <c r="F55" s="30" t="inlineStr">
        <is>
          <t>Cát vàng sàng rửa Mk&gt;=2.0</t>
        </is>
      </c>
      <c r="G55" s="31" t="inlineStr">
        <is>
          <t>m3</t>
        </is>
      </c>
      <c r="H55" s="56" t="n">
        <v>0.45</v>
      </c>
      <c r="I55" s="42">
        <f>D53*H55</f>
        <v/>
      </c>
      <c r="J55" s="30" t="inlineStr">
        <is>
          <t>TCVN 7570:2006</t>
        </is>
      </c>
    </row>
    <row r="56">
      <c r="A56" s="19" t="n"/>
      <c r="B56" s="19" t="n"/>
      <c r="C56" s="30" t="inlineStr">
        <is>
          <t xml:space="preserve">   • Đá dăm 1x2 sạch chọn lọc</t>
        </is>
      </c>
      <c r="D56" s="19" t="n"/>
      <c r="E56" s="19" t="n"/>
      <c r="F56" s="30" t="inlineStr">
        <is>
          <t>Đá dăm 1x2 sạch chọn lọc</t>
        </is>
      </c>
      <c r="G56" s="31" t="inlineStr">
        <is>
          <t>m3</t>
        </is>
      </c>
      <c r="H56" s="56" t="n">
        <v>0.83</v>
      </c>
      <c r="I56" s="42">
        <f>D53*H56</f>
        <v/>
      </c>
      <c r="J56" s="30" t="inlineStr">
        <is>
          <t>TCVN 7570:2006</t>
        </is>
      </c>
    </row>
    <row r="57">
      <c r="A57" s="19" t="n"/>
      <c r="B57" s="19" t="n"/>
      <c r="C57" s="30" t="inlineStr">
        <is>
          <t xml:space="preserve">   • Nước sạch trộn bê tông</t>
        </is>
      </c>
      <c r="D57" s="19" t="n"/>
      <c r="E57" s="19" t="n"/>
      <c r="F57" s="30" t="inlineStr">
        <is>
          <t>Nước sạch trộn bê tông</t>
        </is>
      </c>
      <c r="G57" s="31" t="inlineStr">
        <is>
          <t>Lít</t>
        </is>
      </c>
      <c r="H57" s="42" t="n">
        <v>180</v>
      </c>
      <c r="I57" s="42">
        <f>D53*H57</f>
        <v/>
      </c>
      <c r="J57" s="30" t="inlineStr">
        <is>
          <t>TCVN 4506:2012</t>
        </is>
      </c>
    </row>
    <row r="58">
      <c r="A58" s="19" t="n"/>
      <c r="B58" s="19" t="n"/>
      <c r="C58" s="30" t="inlineStr">
        <is>
          <t xml:space="preserve">   • Phụ gia siêu dẻo giảm nước</t>
        </is>
      </c>
      <c r="D58" s="19" t="n"/>
      <c r="E58" s="19" t="n"/>
      <c r="F58" s="30" t="inlineStr">
        <is>
          <t>Phụ gia siêu dẻo giảm nước</t>
        </is>
      </c>
      <c r="G58" s="31" t="inlineStr">
        <is>
          <t>kg</t>
        </is>
      </c>
      <c r="H58" s="42" t="n">
        <v>4.5</v>
      </c>
      <c r="I58" s="42">
        <f>D53*H58</f>
        <v/>
      </c>
      <c r="J58" s="30" t="inlineStr">
        <is>
          <t>ASTM C494 Type F</t>
        </is>
      </c>
    </row>
    <row r="59">
      <c r="A59" s="52" t="n">
        <v>11</v>
      </c>
      <c r="B59" s="52" t="inlineStr">
        <is>
          <t>AF.62111</t>
        </is>
      </c>
      <c r="C59" s="53" t="inlineStr">
        <is>
          <t>Cốt thép mố và trụ (Bệ móng, Thân mố, Thân trụ, Xà mũ)</t>
        </is>
      </c>
      <c r="D59" s="54">
        <f>QS_DIEN_GIAI_CHI_TIET!J56</f>
        <v/>
      </c>
      <c r="E59" s="52" t="inlineStr">
        <is>
          <t>Tấn</t>
        </is>
      </c>
      <c r="F59" s="55" t="n"/>
      <c r="G59" s="55" t="n"/>
      <c r="H59" s="55" t="n"/>
      <c r="I59" s="55" t="n"/>
      <c r="J59" s="55" t="n"/>
    </row>
    <row r="60">
      <c r="A60" s="19" t="n"/>
      <c r="B60" s="19" t="n"/>
      <c r="C60" s="30" t="inlineStr">
        <is>
          <t xml:space="preserve">   • Thép lưới đáy bệ móng vằn Ø32 (CB500-V)</t>
        </is>
      </c>
      <c r="D60" s="19" t="n"/>
      <c r="E60" s="19" t="n"/>
      <c r="F60" s="30" t="inlineStr">
        <is>
          <t>Thép lưới đáy bệ móng vằn Ø32 (CB500-V)</t>
        </is>
      </c>
      <c r="G60" s="31" t="inlineStr">
        <is>
          <t>Tấn</t>
        </is>
      </c>
      <c r="H60" s="56" t="n">
        <v>0.365</v>
      </c>
      <c r="I60" s="42">
        <f>D59*H60</f>
        <v/>
      </c>
      <c r="J60" s="30" t="inlineStr">
        <is>
          <t>TCVN 1651:2018</t>
        </is>
      </c>
    </row>
    <row r="61">
      <c r="A61" s="19" t="n"/>
      <c r="B61" s="19" t="n"/>
      <c r="C61" s="30" t="inlineStr">
        <is>
          <t xml:space="preserve">   • Thép đứng thân trụ vằn Ø32 (CB500-V)</t>
        </is>
      </c>
      <c r="D61" s="19" t="n"/>
      <c r="E61" s="19" t="n"/>
      <c r="F61" s="30" t="inlineStr">
        <is>
          <t>Thép đứng thân trụ vằn Ø32 (CB500-V)</t>
        </is>
      </c>
      <c r="G61" s="31" t="inlineStr">
        <is>
          <t>Tấn</t>
        </is>
      </c>
      <c r="H61" s="56" t="n">
        <v>0.245</v>
      </c>
      <c r="I61" s="42">
        <f>D59*H61</f>
        <v/>
      </c>
      <c r="J61" s="30" t="inlineStr">
        <is>
          <t>TCVN 1651:2018</t>
        </is>
      </c>
    </row>
    <row r="62">
      <c r="A62" s="19" t="n"/>
      <c r="B62" s="19" t="n"/>
      <c r="C62" s="30" t="inlineStr">
        <is>
          <t xml:space="preserve">   • Thép đứng thân mố vằn Ø28 (CB500-V)</t>
        </is>
      </c>
      <c r="D62" s="19" t="n"/>
      <c r="E62" s="19" t="n"/>
      <c r="F62" s="30" t="inlineStr">
        <is>
          <t>Thép đứng thân mố vằn Ø28 (CB500-V)</t>
        </is>
      </c>
      <c r="G62" s="31" t="inlineStr">
        <is>
          <t>Tấn</t>
        </is>
      </c>
      <c r="H62" s="56" t="n">
        <v>0.145</v>
      </c>
      <c r="I62" s="42">
        <f>D59*H62</f>
        <v/>
      </c>
      <c r="J62" s="30" t="inlineStr">
        <is>
          <t>TCVN 1651:2018</t>
        </is>
      </c>
    </row>
    <row r="63">
      <c r="A63" s="19" t="n"/>
      <c r="B63" s="19" t="n"/>
      <c r="C63" s="30" t="inlineStr">
        <is>
          <t xml:space="preserve">   • Thép xà mũ chịu uốn vằn Ø28 (CB500-V)</t>
        </is>
      </c>
      <c r="D63" s="19" t="n"/>
      <c r="E63" s="19" t="n"/>
      <c r="F63" s="30" t="inlineStr">
        <is>
          <t>Thép xà mũ chịu uốn vằn Ø28 (CB500-V)</t>
        </is>
      </c>
      <c r="G63" s="31" t="inlineStr">
        <is>
          <t>Tấn</t>
        </is>
      </c>
      <c r="H63" s="56" t="n">
        <v>0.08500000000000001</v>
      </c>
      <c r="I63" s="42">
        <f>D59*H63</f>
        <v/>
      </c>
      <c r="J63" s="30" t="inlineStr">
        <is>
          <t>TCVN 1651:2018</t>
        </is>
      </c>
    </row>
    <row r="64">
      <c r="A64" s="19" t="n"/>
      <c r="B64" s="19" t="n"/>
      <c r="C64" s="30" t="inlineStr">
        <is>
          <t xml:space="preserve">   • Thép phân bố bệ móng vằn Ø20 (CB500-V)</t>
        </is>
      </c>
      <c r="D64" s="19" t="n"/>
      <c r="E64" s="19" t="n"/>
      <c r="F64" s="30" t="inlineStr">
        <is>
          <t>Thép phân bố bệ móng vằn Ø20 (CB500-V)</t>
        </is>
      </c>
      <c r="G64" s="31" t="inlineStr">
        <is>
          <t>Tấn</t>
        </is>
      </c>
      <c r="H64" s="56" t="n">
        <v>0.1</v>
      </c>
      <c r="I64" s="42">
        <f>D59*H64</f>
        <v/>
      </c>
      <c r="J64" s="30" t="inlineStr">
        <is>
          <t>TCVN 1651:2018</t>
        </is>
      </c>
    </row>
    <row r="65">
      <c r="A65" s="19" t="n"/>
      <c r="B65" s="19" t="n"/>
      <c r="C65" s="30" t="inlineStr">
        <is>
          <t xml:space="preserve">   • Thép đai mố trụ vằn Ø16 (CB400-V)</t>
        </is>
      </c>
      <c r="D65" s="19" t="n"/>
      <c r="E65" s="19" t="n"/>
      <c r="F65" s="30" t="inlineStr">
        <is>
          <t>Thép đai mố trụ vằn Ø16 (CB400-V)</t>
        </is>
      </c>
      <c r="G65" s="31" t="inlineStr">
        <is>
          <t>Tấn</t>
        </is>
      </c>
      <c r="H65" s="56" t="n">
        <v>0.04</v>
      </c>
      <c r="I65" s="42">
        <f>D59*H65</f>
        <v/>
      </c>
      <c r="J65" s="30" t="inlineStr">
        <is>
          <t>TCVN 1651:2018</t>
        </is>
      </c>
    </row>
    <row r="66">
      <c r="A66" s="19" t="n"/>
      <c r="B66" s="19" t="n"/>
      <c r="C66" s="30" t="inlineStr">
        <is>
          <t xml:space="preserve">   • Thép đai cấu tạo tròn trơn Ø10 (CB240-T)</t>
        </is>
      </c>
      <c r="D66" s="19" t="n"/>
      <c r="E66" s="19" t="n"/>
      <c r="F66" s="30" t="inlineStr">
        <is>
          <t>Thép đai cấu tạo tròn trơn Ø10 (CB240-T)</t>
        </is>
      </c>
      <c r="G66" s="31" t="inlineStr">
        <is>
          <t>Tấn</t>
        </is>
      </c>
      <c r="H66" s="56" t="n">
        <v>0.02</v>
      </c>
      <c r="I66" s="42">
        <f>D59*H66</f>
        <v/>
      </c>
      <c r="J66" s="30" t="inlineStr">
        <is>
          <t>TCVN 1651:2018</t>
        </is>
      </c>
    </row>
    <row r="67">
      <c r="A67" s="19" t="n"/>
      <c r="B67" s="19" t="n"/>
      <c r="C67" s="30" t="inlineStr">
        <is>
          <t xml:space="preserve">   • Dây thép buộc 1 ly</t>
        </is>
      </c>
      <c r="D67" s="19" t="n"/>
      <c r="E67" s="19" t="n"/>
      <c r="F67" s="30" t="inlineStr">
        <is>
          <t>Dây thép buộc 1 ly</t>
        </is>
      </c>
      <c r="G67" s="31" t="inlineStr">
        <is>
          <t>kg</t>
        </is>
      </c>
      <c r="H67" s="42" t="n">
        <v>15</v>
      </c>
      <c r="I67" s="42">
        <f>D59*H67</f>
        <v/>
      </c>
      <c r="J67" s="30" t="inlineStr">
        <is>
          <t>TCVN 1651:2018</t>
        </is>
      </c>
    </row>
    <row r="68">
      <c r="A68" s="19" t="n"/>
      <c r="B68" s="19" t="n"/>
      <c r="C68" s="30" t="inlineStr">
        <is>
          <t xml:space="preserve">   • Que hàn điện E42/E50</t>
        </is>
      </c>
      <c r="D68" s="19" t="n"/>
      <c r="E68" s="19" t="n"/>
      <c r="F68" s="30" t="inlineStr">
        <is>
          <t>Que hàn điện E42/E50</t>
        </is>
      </c>
      <c r="G68" s="31" t="inlineStr">
        <is>
          <t>kg</t>
        </is>
      </c>
      <c r="H68" s="42" t="n">
        <v>8</v>
      </c>
      <c r="I68" s="42">
        <f>D59*H68</f>
        <v/>
      </c>
      <c r="J68" s="30" t="inlineStr">
        <is>
          <t>TCVN 3223:2000</t>
        </is>
      </c>
    </row>
    <row r="69">
      <c r="A69" s="52" t="n">
        <v>12</v>
      </c>
      <c r="B69" s="52" t="inlineStr">
        <is>
          <t>AF.31111</t>
        </is>
      </c>
      <c r="C69" s="53" t="inlineStr">
        <is>
          <t>Bê tông dầm chủ Super-T L=38.2m mác C45 (15 phiến)</t>
        </is>
      </c>
      <c r="D69" s="54">
        <f>QS_DIEN_GIAI_CHI_TIET!J62</f>
        <v/>
      </c>
      <c r="E69" s="52" t="inlineStr">
        <is>
          <t>m3</t>
        </is>
      </c>
      <c r="F69" s="55" t="n"/>
      <c r="G69" s="55" t="n"/>
      <c r="H69" s="55" t="n"/>
      <c r="I69" s="55" t="n"/>
      <c r="J69" s="55" t="n"/>
    </row>
    <row r="70">
      <c r="A70" s="19" t="n"/>
      <c r="B70" s="19" t="n"/>
      <c r="C70" s="30" t="inlineStr">
        <is>
          <t xml:space="preserve">   • Xi măng PCB40 dầm Super-T</t>
        </is>
      </c>
      <c r="D70" s="19" t="n"/>
      <c r="E70" s="19" t="n"/>
      <c r="F70" s="30" t="inlineStr">
        <is>
          <t>Xi măng PCB40 dầm Super-T</t>
        </is>
      </c>
      <c r="G70" s="31" t="inlineStr">
        <is>
          <t>kg</t>
        </is>
      </c>
      <c r="H70" s="42" t="n">
        <v>485</v>
      </c>
      <c r="I70" s="42">
        <f>D69*H70</f>
        <v/>
      </c>
      <c r="J70" s="30" t="inlineStr">
        <is>
          <t>TCVN 6260:2020</t>
        </is>
      </c>
    </row>
    <row r="71">
      <c r="A71" s="19" t="n"/>
      <c r="B71" s="19" t="n"/>
      <c r="C71" s="30" t="inlineStr">
        <is>
          <t xml:space="preserve">   • Cát vàng chọn lọc thô Mk&gt;=2.6</t>
        </is>
      </c>
      <c r="D71" s="19" t="n"/>
      <c r="E71" s="19" t="n"/>
      <c r="F71" s="30" t="inlineStr">
        <is>
          <t>Cát vàng chọn lọc thô Mk&gt;=2.6</t>
        </is>
      </c>
      <c r="G71" s="31" t="inlineStr">
        <is>
          <t>m3</t>
        </is>
      </c>
      <c r="H71" s="56" t="n">
        <v>0.44</v>
      </c>
      <c r="I71" s="42">
        <f>D69*H71</f>
        <v/>
      </c>
      <c r="J71" s="30" t="inlineStr">
        <is>
          <t>TCVN 7570:2006</t>
        </is>
      </c>
    </row>
    <row r="72">
      <c r="A72" s="19" t="n"/>
      <c r="B72" s="19" t="n"/>
      <c r="C72" s="30" t="inlineStr">
        <is>
          <t xml:space="preserve">   • Đá dăm 1x2 nghiền rửa chọn lọc</t>
        </is>
      </c>
      <c r="D72" s="19" t="n"/>
      <c r="E72" s="19" t="n"/>
      <c r="F72" s="30" t="inlineStr">
        <is>
          <t>Đá dăm 1x2 nghiền rửa chọn lọc</t>
        </is>
      </c>
      <c r="G72" s="31" t="inlineStr">
        <is>
          <t>m3</t>
        </is>
      </c>
      <c r="H72" s="56" t="n">
        <v>0.83</v>
      </c>
      <c r="I72" s="42">
        <f>D69*H72</f>
        <v/>
      </c>
      <c r="J72" s="30" t="inlineStr">
        <is>
          <t>TCVN 7570:2006</t>
        </is>
      </c>
    </row>
    <row r="73">
      <c r="A73" s="19" t="n"/>
      <c r="B73" s="19" t="n"/>
      <c r="C73" s="30" t="inlineStr">
        <is>
          <t xml:space="preserve">   • Nước sạch trộn bê tông</t>
        </is>
      </c>
      <c r="D73" s="19" t="n"/>
      <c r="E73" s="19" t="n"/>
      <c r="F73" s="30" t="inlineStr">
        <is>
          <t>Nước sạch trộn bê tông</t>
        </is>
      </c>
      <c r="G73" s="31" t="inlineStr">
        <is>
          <t>Lít</t>
        </is>
      </c>
      <c r="H73" s="42" t="n">
        <v>165</v>
      </c>
      <c r="I73" s="42">
        <f>D69*H73</f>
        <v/>
      </c>
      <c r="J73" s="30" t="inlineStr">
        <is>
          <t>TCVN 4506:2012</t>
        </is>
      </c>
    </row>
    <row r="74">
      <c r="A74" s="19" t="n"/>
      <c r="B74" s="19" t="n"/>
      <c r="C74" s="30" t="inlineStr">
        <is>
          <t xml:space="preserve">   • Phụ gia siêu dẻo Polycarboxylate thế hệ 3</t>
        </is>
      </c>
      <c r="D74" s="19" t="n"/>
      <c r="E74" s="19" t="n"/>
      <c r="F74" s="30" t="inlineStr">
        <is>
          <t>Phụ gia siêu dẻo Polycarboxylate thế hệ 3</t>
        </is>
      </c>
      <c r="G74" s="31" t="inlineStr">
        <is>
          <t>kg</t>
        </is>
      </c>
      <c r="H74" s="42" t="n">
        <v>6.8</v>
      </c>
      <c r="I74" s="42">
        <f>D69*H74</f>
        <v/>
      </c>
      <c r="J74" s="30" t="inlineStr">
        <is>
          <t>ASTM C494 Type F/G</t>
        </is>
      </c>
    </row>
    <row r="75">
      <c r="A75" s="52" t="n">
        <v>13</v>
      </c>
      <c r="B75" s="52" t="inlineStr">
        <is>
          <t>AF.63111</t>
        </is>
      </c>
      <c r="C75" s="53" t="inlineStr">
        <is>
          <t>Cáp dự ứng lực tao xoắn 15.2mm Grade 270 dầm Super-T</t>
        </is>
      </c>
      <c r="D75" s="54">
        <f>QS_DIEN_GIAI_CHI_TIET!J64</f>
        <v/>
      </c>
      <c r="E75" s="52" t="inlineStr">
        <is>
          <t>Tấn</t>
        </is>
      </c>
      <c r="F75" s="55" t="n"/>
      <c r="G75" s="55" t="n"/>
      <c r="H75" s="55" t="n"/>
      <c r="I75" s="55" t="n"/>
      <c r="J75" s="55" t="n"/>
    </row>
    <row r="76">
      <c r="A76" s="19" t="n"/>
      <c r="B76" s="19" t="n"/>
      <c r="C76" s="30" t="inlineStr">
        <is>
          <t xml:space="preserve">   • Cáp dự ứng lực tao 15.2mm Gr270</t>
        </is>
      </c>
      <c r="D76" s="19" t="n"/>
      <c r="E76" s="19" t="n"/>
      <c r="F76" s="30" t="inlineStr">
        <is>
          <t>Cáp dự ứng lực tao 15.2mm Gr270</t>
        </is>
      </c>
      <c r="G76" s="31" t="inlineStr">
        <is>
          <t>Tấn</t>
        </is>
      </c>
      <c r="H76" s="42" t="n">
        <v>1</v>
      </c>
      <c r="I76" s="42">
        <f>D75*H76</f>
        <v/>
      </c>
      <c r="J76" s="30" t="inlineStr">
        <is>
          <t>ASTM A416 / TCVN 11823</t>
        </is>
      </c>
    </row>
    <row r="77">
      <c r="A77" s="19" t="n"/>
      <c r="B77" s="19" t="n"/>
      <c r="C77" s="30" t="inlineStr">
        <is>
          <t xml:space="preserve">   • Bộ neo chùm dự ứng lực (12 bộ/phiến dầm)</t>
        </is>
      </c>
      <c r="D77" s="19" t="n"/>
      <c r="E77" s="19" t="n"/>
      <c r="F77" s="30" t="inlineStr">
        <is>
          <t>Bộ neo chùm dự ứng lực (12 bộ/phiến dầm)</t>
        </is>
      </c>
      <c r="G77" s="31" t="inlineStr">
        <is>
          <t>Bộ</t>
        </is>
      </c>
      <c r="H77" s="42" t="n">
        <v>3.75</v>
      </c>
      <c r="I77" s="42">
        <f>D75*H77</f>
        <v/>
      </c>
      <c r="J77" s="30" t="inlineStr">
        <is>
          <t>TCVN 11823:2017</t>
        </is>
      </c>
    </row>
    <row r="78">
      <c r="A78" s="19" t="n"/>
      <c r="B78" s="19" t="n"/>
      <c r="C78" s="30" t="inlineStr">
        <is>
          <t xml:space="preserve">   • Ống ghen tôn mạ kẽm luồn cáp DƯL</t>
        </is>
      </c>
      <c r="D78" s="19" t="n"/>
      <c r="E78" s="19" t="n"/>
      <c r="F78" s="30" t="inlineStr">
        <is>
          <t>Ống ghen tôn mạ kẽm luồn cáp DƯL</t>
        </is>
      </c>
      <c r="G78" s="31" t="inlineStr">
        <is>
          <t>m</t>
        </is>
      </c>
      <c r="H78" s="42" t="n">
        <v>36</v>
      </c>
      <c r="I78" s="42">
        <f>D75*H78</f>
        <v/>
      </c>
      <c r="J78" s="30" t="inlineStr">
        <is>
          <t>TCVN 11823:2017</t>
        </is>
      </c>
    </row>
    <row r="79">
      <c r="A79" s="19" t="n"/>
      <c r="B79" s="19" t="n"/>
      <c r="C79" s="30" t="inlineStr">
        <is>
          <t xml:space="preserve">   • Vữa không co ngót bơm lấp ống ghen SikaGrout</t>
        </is>
      </c>
      <c r="D79" s="19" t="n"/>
      <c r="E79" s="19" t="n"/>
      <c r="F79" s="30" t="inlineStr">
        <is>
          <t>Vữa không co ngót bơm lấp ống ghen SikaGrout</t>
        </is>
      </c>
      <c r="G79" s="31" t="inlineStr">
        <is>
          <t>kg</t>
        </is>
      </c>
      <c r="H79" s="42" t="n">
        <v>380</v>
      </c>
      <c r="I79" s="42">
        <f>D75*H79</f>
        <v/>
      </c>
      <c r="J79" s="30" t="inlineStr">
        <is>
          <t>ASTM C1107</t>
        </is>
      </c>
    </row>
    <row r="80">
      <c r="A80" s="52" t="n">
        <v>14</v>
      </c>
      <c r="B80" s="52" t="inlineStr">
        <is>
          <t>AF.64111</t>
        </is>
      </c>
      <c r="C80" s="53" t="inlineStr">
        <is>
          <t>Cốt thép thường dầm chủ Super-T (Thép sườn, cánh)</t>
        </is>
      </c>
      <c r="D80" s="54">
        <f>QS_DIEN_GIAI_CHI_TIET!J66</f>
        <v/>
      </c>
      <c r="E80" s="52" t="inlineStr">
        <is>
          <t>Tấn</t>
        </is>
      </c>
      <c r="F80" s="55" t="n"/>
      <c r="G80" s="55" t="n"/>
      <c r="H80" s="55" t="n"/>
      <c r="I80" s="55" t="n"/>
      <c r="J80" s="55" t="n"/>
    </row>
    <row r="81">
      <c r="A81" s="19" t="n"/>
      <c r="B81" s="19" t="n"/>
      <c r="C81" s="30" t="inlineStr">
        <is>
          <t xml:space="preserve">   • Thép sườn dầm Super-T vằn Ø16 (CB400-V)</t>
        </is>
      </c>
      <c r="D81" s="19" t="n"/>
      <c r="E81" s="19" t="n"/>
      <c r="F81" s="30" t="inlineStr">
        <is>
          <t>Thép sườn dầm Super-T vằn Ø16 (CB400-V)</t>
        </is>
      </c>
      <c r="G81" s="31" t="inlineStr">
        <is>
          <t>Tấn</t>
        </is>
      </c>
      <c r="H81" s="56" t="n">
        <v>0.55</v>
      </c>
      <c r="I81" s="42">
        <f>D80*H81</f>
        <v/>
      </c>
      <c r="J81" s="30" t="inlineStr">
        <is>
          <t>TCVN 1651:2018</t>
        </is>
      </c>
    </row>
    <row r="82">
      <c r="A82" s="19" t="n"/>
      <c r="B82" s="19" t="n"/>
      <c r="C82" s="30" t="inlineStr">
        <is>
          <t xml:space="preserve">   • Thép bản cánh dầm Super-T vằn Ø14 (CB400-V)</t>
        </is>
      </c>
      <c r="D82" s="19" t="n"/>
      <c r="E82" s="19" t="n"/>
      <c r="F82" s="30" t="inlineStr">
        <is>
          <t>Thép bản cánh dầm Super-T vằn Ø14 (CB400-V)</t>
        </is>
      </c>
      <c r="G82" s="31" t="inlineStr">
        <is>
          <t>Tấn</t>
        </is>
      </c>
      <c r="H82" s="56" t="n">
        <v>0.35</v>
      </c>
      <c r="I82" s="42">
        <f>D80*H82</f>
        <v/>
      </c>
      <c r="J82" s="30" t="inlineStr">
        <is>
          <t>TCVN 1651:2018</t>
        </is>
      </c>
    </row>
    <row r="83">
      <c r="A83" s="19" t="n"/>
      <c r="B83" s="19" t="n"/>
      <c r="C83" s="30" t="inlineStr">
        <is>
          <t xml:space="preserve">   • Thép đai và móc cẩu dầm tròn trơn Ø10 (CB240-T)</t>
        </is>
      </c>
      <c r="D83" s="19" t="n"/>
      <c r="E83" s="19" t="n"/>
      <c r="F83" s="30" t="inlineStr">
        <is>
          <t>Thép đai và móc cẩu dầm tròn trơn Ø10 (CB240-T)</t>
        </is>
      </c>
      <c r="G83" s="31" t="inlineStr">
        <is>
          <t>Tấn</t>
        </is>
      </c>
      <c r="H83" s="56" t="n">
        <v>0.1</v>
      </c>
      <c r="I83" s="42">
        <f>D80*H83</f>
        <v/>
      </c>
      <c r="J83" s="30" t="inlineStr">
        <is>
          <t>TCVN 1651:2018</t>
        </is>
      </c>
    </row>
    <row r="84">
      <c r="A84" s="19" t="n"/>
      <c r="B84" s="19" t="n"/>
      <c r="C84" s="30" t="inlineStr">
        <is>
          <t xml:space="preserve">   • Dây thép buộc 1 ly</t>
        </is>
      </c>
      <c r="D84" s="19" t="n"/>
      <c r="E84" s="19" t="n"/>
      <c r="F84" s="30" t="inlineStr">
        <is>
          <t>Dây thép buộc 1 ly</t>
        </is>
      </c>
      <c r="G84" s="31" t="inlineStr">
        <is>
          <t>kg</t>
        </is>
      </c>
      <c r="H84" s="42" t="n">
        <v>15</v>
      </c>
      <c r="I84" s="42">
        <f>D80*H84</f>
        <v/>
      </c>
      <c r="J84" s="30" t="inlineStr">
        <is>
          <t>TCVN 1651:2018</t>
        </is>
      </c>
    </row>
    <row r="85">
      <c r="A85" s="52" t="n">
        <v>15</v>
      </c>
      <c r="B85" s="52" t="inlineStr">
        <is>
          <t>AF.32111</t>
        </is>
      </c>
      <c r="C85" s="53" t="inlineStr">
        <is>
          <t>Gối chậu cao su di động đơn hướng &amp; cố định</t>
        </is>
      </c>
      <c r="D85" s="54">
        <f>QS_DIEN_GIAI_CHI_TIET!J70</f>
        <v/>
      </c>
      <c r="E85" s="52" t="inlineStr">
        <is>
          <t>Cái</t>
        </is>
      </c>
      <c r="F85" s="55" t="n"/>
      <c r="G85" s="55" t="n"/>
      <c r="H85" s="55" t="n"/>
      <c r="I85" s="55" t="n"/>
      <c r="J85" s="55" t="n"/>
    </row>
    <row r="86">
      <c r="A86" s="19" t="n"/>
      <c r="B86" s="19" t="n"/>
      <c r="C86" s="30" t="inlineStr">
        <is>
          <t xml:space="preserve">   • Gối chậu cao su cốt bản thép chịu lực</t>
        </is>
      </c>
      <c r="D86" s="19" t="n"/>
      <c r="E86" s="19" t="n"/>
      <c r="F86" s="30" t="inlineStr">
        <is>
          <t>Gối chậu cao su cốt bản thép chịu lực</t>
        </is>
      </c>
      <c r="G86" s="31" t="inlineStr">
        <is>
          <t>Cái</t>
        </is>
      </c>
      <c r="H86" s="42" t="n">
        <v>1</v>
      </c>
      <c r="I86" s="42">
        <f>D85*H86</f>
        <v/>
      </c>
      <c r="J86" s="30" t="inlineStr">
        <is>
          <t>TCVN 11823:2017 / AASHTO</t>
        </is>
      </c>
    </row>
    <row r="87">
      <c r="A87" s="52" t="n">
        <v>16</v>
      </c>
      <c r="B87" s="52" t="inlineStr">
        <is>
          <t>AF.33111</t>
        </is>
      </c>
      <c r="C87" s="53" t="inlineStr">
        <is>
          <t>Bê tông dầm ngang mố và trụ mác C35</t>
        </is>
      </c>
      <c r="D87" s="54">
        <f>QS_DIEN_GIAI_CHI_TIET!J73</f>
        <v/>
      </c>
      <c r="E87" s="52" t="inlineStr">
        <is>
          <t>m3</t>
        </is>
      </c>
      <c r="F87" s="55" t="n"/>
      <c r="G87" s="55" t="n"/>
      <c r="H87" s="55" t="n"/>
      <c r="I87" s="55" t="n"/>
      <c r="J87" s="55" t="n"/>
    </row>
    <row r="88">
      <c r="A88" s="19" t="n"/>
      <c r="B88" s="19" t="n"/>
      <c r="C88" s="30" t="inlineStr">
        <is>
          <t xml:space="preserve">   • Xi măng PCB40 dầm ngang</t>
        </is>
      </c>
      <c r="D88" s="19" t="n"/>
      <c r="E88" s="19" t="n"/>
      <c r="F88" s="30" t="inlineStr">
        <is>
          <t>Xi măng PCB40 dầm ngang</t>
        </is>
      </c>
      <c r="G88" s="31" t="inlineStr">
        <is>
          <t>kg</t>
        </is>
      </c>
      <c r="H88" s="42" t="n">
        <v>420</v>
      </c>
      <c r="I88" s="42">
        <f>D87*H88</f>
        <v/>
      </c>
      <c r="J88" s="30" t="inlineStr">
        <is>
          <t>TCVN 6260:2020</t>
        </is>
      </c>
    </row>
    <row r="89">
      <c r="A89" s="19" t="n"/>
      <c r="B89" s="19" t="n"/>
      <c r="C89" s="30" t="inlineStr">
        <is>
          <t xml:space="preserve">   • Cát vàng sàng rửa Mk&gt;=2.0</t>
        </is>
      </c>
      <c r="D89" s="19" t="n"/>
      <c r="E89" s="19" t="n"/>
      <c r="F89" s="30" t="inlineStr">
        <is>
          <t>Cát vàng sàng rửa Mk&gt;=2.0</t>
        </is>
      </c>
      <c r="G89" s="31" t="inlineStr">
        <is>
          <t>m3</t>
        </is>
      </c>
      <c r="H89" s="56" t="n">
        <v>0.45</v>
      </c>
      <c r="I89" s="42">
        <f>D87*H89</f>
        <v/>
      </c>
      <c r="J89" s="30" t="inlineStr">
        <is>
          <t>TCVN 7570:2006</t>
        </is>
      </c>
    </row>
    <row r="90">
      <c r="A90" s="19" t="n"/>
      <c r="B90" s="19" t="n"/>
      <c r="C90" s="30" t="inlineStr">
        <is>
          <t xml:space="preserve">   • Đá dăm 1x2 sạch</t>
        </is>
      </c>
      <c r="D90" s="19" t="n"/>
      <c r="E90" s="19" t="n"/>
      <c r="F90" s="30" t="inlineStr">
        <is>
          <t>Đá dăm 1x2 sạch</t>
        </is>
      </c>
      <c r="G90" s="31" t="inlineStr">
        <is>
          <t>m3</t>
        </is>
      </c>
      <c r="H90" s="56" t="n">
        <v>0.83</v>
      </c>
      <c r="I90" s="42">
        <f>D87*H90</f>
        <v/>
      </c>
      <c r="J90" s="30" t="inlineStr">
        <is>
          <t>TCVN 7570:2006</t>
        </is>
      </c>
    </row>
    <row r="91">
      <c r="A91" s="19" t="n"/>
      <c r="B91" s="19" t="n"/>
      <c r="C91" s="30" t="inlineStr">
        <is>
          <t xml:space="preserve">   • Nước sạch trộn bê tông</t>
        </is>
      </c>
      <c r="D91" s="19" t="n"/>
      <c r="E91" s="19" t="n"/>
      <c r="F91" s="30" t="inlineStr">
        <is>
          <t>Nước sạch trộn bê tông</t>
        </is>
      </c>
      <c r="G91" s="31" t="inlineStr">
        <is>
          <t>Lít</t>
        </is>
      </c>
      <c r="H91" s="42" t="n">
        <v>180</v>
      </c>
      <c r="I91" s="42">
        <f>D87*H91</f>
        <v/>
      </c>
      <c r="J91" s="30" t="inlineStr">
        <is>
          <t>TCVN 4506:2012</t>
        </is>
      </c>
    </row>
    <row r="92">
      <c r="A92" s="19" t="n"/>
      <c r="B92" s="19" t="n"/>
      <c r="C92" s="30" t="inlineStr">
        <is>
          <t xml:space="preserve">   • Phụ gia siêu dẻo giảm nước</t>
        </is>
      </c>
      <c r="D92" s="19" t="n"/>
      <c r="E92" s="19" t="n"/>
      <c r="F92" s="30" t="inlineStr">
        <is>
          <t>Phụ gia siêu dẻo giảm nước</t>
        </is>
      </c>
      <c r="G92" s="31" t="inlineStr">
        <is>
          <t>kg</t>
        </is>
      </c>
      <c r="H92" s="42" t="n">
        <v>4.5</v>
      </c>
      <c r="I92" s="42">
        <f>D87*H92</f>
        <v/>
      </c>
      <c r="J92" s="30" t="inlineStr">
        <is>
          <t>ASTM C494 Type F</t>
        </is>
      </c>
    </row>
    <row r="93">
      <c r="A93" s="52" t="n">
        <v>17</v>
      </c>
      <c r="B93" s="52" t="inlineStr">
        <is>
          <t>AF.35111</t>
        </is>
      </c>
      <c r="C93" s="53" t="inlineStr">
        <is>
          <t>Bê tông bản mặt cầu đổ tại chỗ dày 20cm mác C35</t>
        </is>
      </c>
      <c r="D93" s="54">
        <f>QS_DIEN_GIAI_CHI_TIET!J77</f>
        <v/>
      </c>
      <c r="E93" s="52" t="inlineStr">
        <is>
          <t>m3</t>
        </is>
      </c>
      <c r="F93" s="55" t="n"/>
      <c r="G93" s="55" t="n"/>
      <c r="H93" s="55" t="n"/>
      <c r="I93" s="55" t="n"/>
      <c r="J93" s="55" t="n"/>
    </row>
    <row r="94">
      <c r="A94" s="19" t="n"/>
      <c r="B94" s="19" t="n"/>
      <c r="C94" s="30" t="inlineStr">
        <is>
          <t xml:space="preserve">   • Xi măng PCB40 bản mặt cầu</t>
        </is>
      </c>
      <c r="D94" s="19" t="n"/>
      <c r="E94" s="19" t="n"/>
      <c r="F94" s="30" t="inlineStr">
        <is>
          <t>Xi măng PCB40 bản mặt cầu</t>
        </is>
      </c>
      <c r="G94" s="31" t="inlineStr">
        <is>
          <t>kg</t>
        </is>
      </c>
      <c r="H94" s="42" t="n">
        <v>420</v>
      </c>
      <c r="I94" s="42">
        <f>D93*H94</f>
        <v/>
      </c>
      <c r="J94" s="30" t="inlineStr">
        <is>
          <t>TCVN 6260:2020</t>
        </is>
      </c>
    </row>
    <row r="95">
      <c r="A95" s="19" t="n"/>
      <c r="B95" s="19" t="n"/>
      <c r="C95" s="30" t="inlineStr">
        <is>
          <t xml:space="preserve">   • Cát vàng sàng rửa Mk&gt;=2.0</t>
        </is>
      </c>
      <c r="D95" s="19" t="n"/>
      <c r="E95" s="19" t="n"/>
      <c r="F95" s="30" t="inlineStr">
        <is>
          <t>Cát vàng sàng rửa Mk&gt;=2.0</t>
        </is>
      </c>
      <c r="G95" s="31" t="inlineStr">
        <is>
          <t>m3</t>
        </is>
      </c>
      <c r="H95" s="56" t="n">
        <v>0.45</v>
      </c>
      <c r="I95" s="42">
        <f>D93*H95</f>
        <v/>
      </c>
      <c r="J95" s="30" t="inlineStr">
        <is>
          <t>TCVN 7570:2006</t>
        </is>
      </c>
    </row>
    <row r="96">
      <c r="A96" s="19" t="n"/>
      <c r="B96" s="19" t="n"/>
      <c r="C96" s="30" t="inlineStr">
        <is>
          <t xml:space="preserve">   • Đá dăm 1x2 sạch</t>
        </is>
      </c>
      <c r="D96" s="19" t="n"/>
      <c r="E96" s="19" t="n"/>
      <c r="F96" s="30" t="inlineStr">
        <is>
          <t>Đá dăm 1x2 sạch</t>
        </is>
      </c>
      <c r="G96" s="31" t="inlineStr">
        <is>
          <t>m3</t>
        </is>
      </c>
      <c r="H96" s="56" t="n">
        <v>0.83</v>
      </c>
      <c r="I96" s="42">
        <f>D93*H96</f>
        <v/>
      </c>
      <c r="J96" s="30" t="inlineStr">
        <is>
          <t>TCVN 7570:2006</t>
        </is>
      </c>
    </row>
    <row r="97">
      <c r="A97" s="19" t="n"/>
      <c r="B97" s="19" t="n"/>
      <c r="C97" s="30" t="inlineStr">
        <is>
          <t xml:space="preserve">   • Nước sạch trộn bê tông</t>
        </is>
      </c>
      <c r="D97" s="19" t="n"/>
      <c r="E97" s="19" t="n"/>
      <c r="F97" s="30" t="inlineStr">
        <is>
          <t>Nước sạch trộn bê tông</t>
        </is>
      </c>
      <c r="G97" s="31" t="inlineStr">
        <is>
          <t>Lít</t>
        </is>
      </c>
      <c r="H97" s="42" t="n">
        <v>180</v>
      </c>
      <c r="I97" s="42">
        <f>D93*H97</f>
        <v/>
      </c>
      <c r="J97" s="30" t="inlineStr">
        <is>
          <t>TCVN 4506:2012</t>
        </is>
      </c>
    </row>
    <row r="98">
      <c r="A98" s="19" t="n"/>
      <c r="B98" s="19" t="n"/>
      <c r="C98" s="30" t="inlineStr">
        <is>
          <t xml:space="preserve">   • Phụ gia siêu dẻo giảm nước</t>
        </is>
      </c>
      <c r="D98" s="19" t="n"/>
      <c r="E98" s="19" t="n"/>
      <c r="F98" s="30" t="inlineStr">
        <is>
          <t>Phụ gia siêu dẻo giảm nước</t>
        </is>
      </c>
      <c r="G98" s="31" t="inlineStr">
        <is>
          <t>kg</t>
        </is>
      </c>
      <c r="H98" s="42" t="n">
        <v>4.5</v>
      </c>
      <c r="I98" s="42">
        <f>D93*H98</f>
        <v/>
      </c>
      <c r="J98" s="30" t="inlineStr">
        <is>
          <t>ASTM C494 Type F</t>
        </is>
      </c>
    </row>
    <row r="99">
      <c r="A99" s="52" t="n">
        <v>18</v>
      </c>
      <c r="B99" s="52" t="inlineStr">
        <is>
          <t>AF.36111</t>
        </is>
      </c>
      <c r="C99" s="53" t="inlineStr">
        <is>
          <t>Bê tông mối nối liên tục nhiệt đỉnh trụ T1, T2 mác C35</t>
        </is>
      </c>
      <c r="D99" s="54">
        <f>QS_DIEN_GIAI_CHI_TIET!J79</f>
        <v/>
      </c>
      <c r="E99" s="52" t="inlineStr">
        <is>
          <t>m3</t>
        </is>
      </c>
      <c r="F99" s="55" t="n"/>
      <c r="G99" s="55" t="n"/>
      <c r="H99" s="55" t="n"/>
      <c r="I99" s="55" t="n"/>
      <c r="J99" s="55" t="n"/>
    </row>
    <row r="100">
      <c r="A100" s="19" t="n"/>
      <c r="B100" s="19" t="n"/>
      <c r="C100" s="30" t="inlineStr">
        <is>
          <t xml:space="preserve">   • Xi măng PCB40 liên tục nhiệt</t>
        </is>
      </c>
      <c r="D100" s="19" t="n"/>
      <c r="E100" s="19" t="n"/>
      <c r="F100" s="30" t="inlineStr">
        <is>
          <t>Xi măng PCB40 liên tục nhiệt</t>
        </is>
      </c>
      <c r="G100" s="31" t="inlineStr">
        <is>
          <t>kg</t>
        </is>
      </c>
      <c r="H100" s="42" t="n">
        <v>420</v>
      </c>
      <c r="I100" s="42">
        <f>D99*H100</f>
        <v/>
      </c>
      <c r="J100" s="30" t="inlineStr">
        <is>
          <t>TCVN 6260:2020</t>
        </is>
      </c>
    </row>
    <row r="101">
      <c r="A101" s="19" t="n"/>
      <c r="B101" s="19" t="n"/>
      <c r="C101" s="30" t="inlineStr">
        <is>
          <t xml:space="preserve">   • Cát vàng sàng rửa Mk&gt;=2.0</t>
        </is>
      </c>
      <c r="D101" s="19" t="n"/>
      <c r="E101" s="19" t="n"/>
      <c r="F101" s="30" t="inlineStr">
        <is>
          <t>Cát vàng sàng rửa Mk&gt;=2.0</t>
        </is>
      </c>
      <c r="G101" s="31" t="inlineStr">
        <is>
          <t>m3</t>
        </is>
      </c>
      <c r="H101" s="56" t="n">
        <v>0.45</v>
      </c>
      <c r="I101" s="42">
        <f>D99*H101</f>
        <v/>
      </c>
      <c r="J101" s="30" t="inlineStr">
        <is>
          <t>TCVN 7570:2006</t>
        </is>
      </c>
    </row>
    <row r="102">
      <c r="A102" s="19" t="n"/>
      <c r="B102" s="19" t="n"/>
      <c r="C102" s="30" t="inlineStr">
        <is>
          <t xml:space="preserve">   • Đá dăm 1x2 sạch</t>
        </is>
      </c>
      <c r="D102" s="19" t="n"/>
      <c r="E102" s="19" t="n"/>
      <c r="F102" s="30" t="inlineStr">
        <is>
          <t>Đá dăm 1x2 sạch</t>
        </is>
      </c>
      <c r="G102" s="31" t="inlineStr">
        <is>
          <t>m3</t>
        </is>
      </c>
      <c r="H102" s="56" t="n">
        <v>0.83</v>
      </c>
      <c r="I102" s="42">
        <f>D99*H102</f>
        <v/>
      </c>
      <c r="J102" s="30" t="inlineStr">
        <is>
          <t>TCVN 7570:2006</t>
        </is>
      </c>
    </row>
    <row r="103">
      <c r="A103" s="19" t="n"/>
      <c r="B103" s="19" t="n"/>
      <c r="C103" s="30" t="inlineStr">
        <is>
          <t xml:space="preserve">   • Nước sạch trộn bê tông</t>
        </is>
      </c>
      <c r="D103" s="19" t="n"/>
      <c r="E103" s="19" t="n"/>
      <c r="F103" s="30" t="inlineStr">
        <is>
          <t>Nước sạch trộn bê tông</t>
        </is>
      </c>
      <c r="G103" s="31" t="inlineStr">
        <is>
          <t>Lít</t>
        </is>
      </c>
      <c r="H103" s="42" t="n">
        <v>180</v>
      </c>
      <c r="I103" s="42">
        <f>D99*H103</f>
        <v/>
      </c>
      <c r="J103" s="30" t="inlineStr">
        <is>
          <t>TCVN 4506:2012</t>
        </is>
      </c>
    </row>
    <row r="104">
      <c r="A104" s="19" t="n"/>
      <c r="B104" s="19" t="n"/>
      <c r="C104" s="30" t="inlineStr">
        <is>
          <t xml:space="preserve">   • Phụ gia siêu dẻo giảm nước</t>
        </is>
      </c>
      <c r="D104" s="19" t="n"/>
      <c r="E104" s="19" t="n"/>
      <c r="F104" s="30" t="inlineStr">
        <is>
          <t>Phụ gia siêu dẻo giảm nước</t>
        </is>
      </c>
      <c r="G104" s="31" t="inlineStr">
        <is>
          <t>kg</t>
        </is>
      </c>
      <c r="H104" s="42" t="n">
        <v>4.5</v>
      </c>
      <c r="I104" s="42">
        <f>D99*H104</f>
        <v/>
      </c>
      <c r="J104" s="30" t="inlineStr">
        <is>
          <t>ASTM C494 Type F</t>
        </is>
      </c>
    </row>
    <row r="105">
      <c r="A105" s="52" t="n">
        <v>19</v>
      </c>
      <c r="B105" s="52" t="inlineStr">
        <is>
          <t>AF.65111</t>
        </is>
      </c>
      <c r="C105" s="53" t="inlineStr">
        <is>
          <t>Cốt thép bản mặt cầu và mối nối liên tục nhiệt</t>
        </is>
      </c>
      <c r="D105" s="54">
        <f>QS_DIEN_GIAI_CHI_TIET!J81</f>
        <v/>
      </c>
      <c r="E105" s="52" t="inlineStr">
        <is>
          <t>Tấn</t>
        </is>
      </c>
      <c r="F105" s="55" t="n"/>
      <c r="G105" s="55" t="n"/>
      <c r="H105" s="55" t="n"/>
      <c r="I105" s="55" t="n"/>
      <c r="J105" s="55" t="n"/>
    </row>
    <row r="106">
      <c r="A106" s="19" t="n"/>
      <c r="B106" s="19" t="n"/>
      <c r="C106" s="30" t="inlineStr">
        <is>
          <t xml:space="preserve">   • Thép bản mặt cầu chịu lực lưới dưới vằn Ø16 (CB400-V)</t>
        </is>
      </c>
      <c r="D106" s="19" t="n"/>
      <c r="E106" s="19" t="n"/>
      <c r="F106" s="30" t="inlineStr">
        <is>
          <t>Thép bản mặt cầu chịu lực lưới dưới vằn Ø16 (CB400-V)</t>
        </is>
      </c>
      <c r="G106" s="31" t="inlineStr">
        <is>
          <t>Tấn</t>
        </is>
      </c>
      <c r="H106" s="56" t="n">
        <v>0.48</v>
      </c>
      <c r="I106" s="42">
        <f>D105*H106</f>
        <v/>
      </c>
      <c r="J106" s="30" t="inlineStr">
        <is>
          <t>TCVN 1651:2018</t>
        </is>
      </c>
    </row>
    <row r="107">
      <c r="A107" s="19" t="n"/>
      <c r="B107" s="19" t="n"/>
      <c r="C107" s="30" t="inlineStr">
        <is>
          <t xml:space="preserve">   • Thép bản mặt cầu lưới trên vằn Ø14 (CB400-V)</t>
        </is>
      </c>
      <c r="D107" s="19" t="n"/>
      <c r="E107" s="19" t="n"/>
      <c r="F107" s="30" t="inlineStr">
        <is>
          <t>Thép bản mặt cầu lưới trên vằn Ø14 (CB400-V)</t>
        </is>
      </c>
      <c r="G107" s="31" t="inlineStr">
        <is>
          <t>Tấn</t>
        </is>
      </c>
      <c r="H107" s="56" t="n">
        <v>0.42</v>
      </c>
      <c r="I107" s="42">
        <f>D105*H107</f>
        <v/>
      </c>
      <c r="J107" s="30" t="inlineStr">
        <is>
          <t>TCVN 1651:2018</t>
        </is>
      </c>
    </row>
    <row r="108">
      <c r="A108" s="19" t="n"/>
      <c r="B108" s="19" t="n"/>
      <c r="C108" s="30" t="inlineStr">
        <is>
          <t xml:space="preserve">   • Thép đai chống nứt tròn trơn Ø10 (CB240-T)</t>
        </is>
      </c>
      <c r="D108" s="19" t="n"/>
      <c r="E108" s="19" t="n"/>
      <c r="F108" s="30" t="inlineStr">
        <is>
          <t>Thép đai chống nứt tròn trơn Ø10 (CB240-T)</t>
        </is>
      </c>
      <c r="G108" s="31" t="inlineStr">
        <is>
          <t>Tấn</t>
        </is>
      </c>
      <c r="H108" s="56" t="n">
        <v>0.1</v>
      </c>
      <c r="I108" s="42">
        <f>D105*H108</f>
        <v/>
      </c>
      <c r="J108" s="30" t="inlineStr">
        <is>
          <t>TCVN 1651:2018</t>
        </is>
      </c>
    </row>
    <row r="109">
      <c r="A109" s="19" t="n"/>
      <c r="B109" s="19" t="n"/>
      <c r="C109" s="30" t="inlineStr">
        <is>
          <t xml:space="preserve">   • Dây thép buộc 1 ly</t>
        </is>
      </c>
      <c r="D109" s="19" t="n"/>
      <c r="E109" s="19" t="n"/>
      <c r="F109" s="30" t="inlineStr">
        <is>
          <t>Dây thép buộc 1 ly</t>
        </is>
      </c>
      <c r="G109" s="31" t="inlineStr">
        <is>
          <t>kg</t>
        </is>
      </c>
      <c r="H109" s="42" t="n">
        <v>15</v>
      </c>
      <c r="I109" s="42">
        <f>D105*H109</f>
        <v/>
      </c>
      <c r="J109" s="30" t="inlineStr">
        <is>
          <t>TCVN 1651:2018</t>
        </is>
      </c>
    </row>
    <row r="110">
      <c r="A110" s="52" t="n">
        <v>20</v>
      </c>
      <c r="B110" s="52" t="inlineStr">
        <is>
          <t>AC.31111</t>
        </is>
      </c>
      <c r="C110" s="53" t="inlineStr">
        <is>
          <t>Khe co giãn răng lược thép D=100mm</t>
        </is>
      </c>
      <c r="D110" s="54">
        <f>QS_DIEN_GIAI_CHI_TIET!J83</f>
        <v/>
      </c>
      <c r="E110" s="52" t="inlineStr">
        <is>
          <t>m</t>
        </is>
      </c>
      <c r="F110" s="55" t="n"/>
      <c r="G110" s="55" t="n"/>
      <c r="H110" s="55" t="n"/>
      <c r="I110" s="55" t="n"/>
      <c r="J110" s="55" t="n"/>
    </row>
    <row r="111">
      <c r="A111" s="19" t="n"/>
      <c r="B111" s="19" t="n"/>
      <c r="C111" s="30" t="inlineStr">
        <is>
          <t xml:space="preserve">   • Thép tấm răng lược hợp kim mạ kẽm D=100mm</t>
        </is>
      </c>
      <c r="D111" s="19" t="n"/>
      <c r="E111" s="19" t="n"/>
      <c r="F111" s="30" t="inlineStr">
        <is>
          <t>Thép tấm răng lược hợp kim mạ kẽm D=100mm</t>
        </is>
      </c>
      <c r="G111" s="31" t="inlineStr">
        <is>
          <t>m</t>
        </is>
      </c>
      <c r="H111" s="42" t="n">
        <v>1</v>
      </c>
      <c r="I111" s="42">
        <f>D110*H111</f>
        <v/>
      </c>
      <c r="J111" s="30" t="inlineStr">
        <is>
          <t>TCVN 11823:2017</t>
        </is>
      </c>
    </row>
    <row r="112">
      <c r="A112" s="19" t="n"/>
      <c r="B112" s="19" t="n"/>
      <c r="C112" s="30" t="inlineStr">
        <is>
          <t xml:space="preserve">   • Máng thoát nước cao su đàn hồi</t>
        </is>
      </c>
      <c r="D112" s="19" t="n"/>
      <c r="E112" s="19" t="n"/>
      <c r="F112" s="30" t="inlineStr">
        <is>
          <t>Máng thoát nước cao su đàn hồi</t>
        </is>
      </c>
      <c r="G112" s="31" t="inlineStr">
        <is>
          <t>m</t>
        </is>
      </c>
      <c r="H112" s="42" t="n">
        <v>1.05</v>
      </c>
      <c r="I112" s="42">
        <f>D110*H112</f>
        <v/>
      </c>
      <c r="J112" s="30" t="inlineStr">
        <is>
          <t>TCVN 11823:2017</t>
        </is>
      </c>
    </row>
    <row r="113">
      <c r="A113" s="19" t="n"/>
      <c r="B113" s="19" t="n"/>
      <c r="C113" s="30" t="inlineStr">
        <is>
          <t xml:space="preserve">   • Bu-lông neo M24 cường độ cao</t>
        </is>
      </c>
      <c r="D113" s="19" t="n"/>
      <c r="E113" s="19" t="n"/>
      <c r="F113" s="30" t="inlineStr">
        <is>
          <t>Bu-lông neo M24 cường độ cao</t>
        </is>
      </c>
      <c r="G113" s="31" t="inlineStr">
        <is>
          <t>Cái</t>
        </is>
      </c>
      <c r="H113" s="42" t="n">
        <v>6</v>
      </c>
      <c r="I113" s="42">
        <f>D110*H113</f>
        <v/>
      </c>
      <c r="J113" s="30" t="inlineStr">
        <is>
          <t>ASTM A325</t>
        </is>
      </c>
    </row>
    <row r="114">
      <c r="A114" s="52" t="n">
        <v>21</v>
      </c>
      <c r="B114" s="52" t="inlineStr">
        <is>
          <t>AF.41111</t>
        </is>
      </c>
      <c r="C114" s="53" t="inlineStr">
        <is>
          <t>Bê tông bản quá độ sau mố M1, M2 mác C30</t>
        </is>
      </c>
      <c r="D114" s="54">
        <f>QS_DIEN_GIAI_CHI_TIET!J86</f>
        <v/>
      </c>
      <c r="E114" s="52" t="inlineStr">
        <is>
          <t>m3</t>
        </is>
      </c>
      <c r="F114" s="55" t="n"/>
      <c r="G114" s="55" t="n"/>
      <c r="H114" s="55" t="n"/>
      <c r="I114" s="55" t="n"/>
      <c r="J114" s="55" t="n"/>
    </row>
    <row r="115">
      <c r="A115" s="19" t="n"/>
      <c r="B115" s="19" t="n"/>
      <c r="C115" s="30" t="inlineStr">
        <is>
          <t xml:space="preserve">   • Xi măng PCB40 bản quá độ</t>
        </is>
      </c>
      <c r="D115" s="19" t="n"/>
      <c r="E115" s="19" t="n"/>
      <c r="F115" s="30" t="inlineStr">
        <is>
          <t>Xi măng PCB40 bản quá độ</t>
        </is>
      </c>
      <c r="G115" s="31" t="inlineStr">
        <is>
          <t>kg</t>
        </is>
      </c>
      <c r="H115" s="42" t="n">
        <v>385</v>
      </c>
      <c r="I115" s="42">
        <f>D114*H115</f>
        <v/>
      </c>
      <c r="J115" s="30" t="inlineStr">
        <is>
          <t>TCVN 6260:2020</t>
        </is>
      </c>
    </row>
    <row r="116">
      <c r="A116" s="19" t="n"/>
      <c r="B116" s="19" t="n"/>
      <c r="C116" s="30" t="inlineStr">
        <is>
          <t xml:space="preserve">   • Cát vàng sàng rửa Mk&gt;=2.0</t>
        </is>
      </c>
      <c r="D116" s="19" t="n"/>
      <c r="E116" s="19" t="n"/>
      <c r="F116" s="30" t="inlineStr">
        <is>
          <t>Cát vàng sàng rửa Mk&gt;=2.0</t>
        </is>
      </c>
      <c r="G116" s="31" t="inlineStr">
        <is>
          <t>m3</t>
        </is>
      </c>
      <c r="H116" s="56" t="n">
        <v>0.46</v>
      </c>
      <c r="I116" s="42">
        <f>D114*H116</f>
        <v/>
      </c>
      <c r="J116" s="30" t="inlineStr">
        <is>
          <t>TCVN 7570:2006</t>
        </is>
      </c>
    </row>
    <row r="117">
      <c r="A117" s="19" t="n"/>
      <c r="B117" s="19" t="n"/>
      <c r="C117" s="30" t="inlineStr">
        <is>
          <t xml:space="preserve">   • Đá dăm 1x2 sạch</t>
        </is>
      </c>
      <c r="D117" s="19" t="n"/>
      <c r="E117" s="19" t="n"/>
      <c r="F117" s="30" t="inlineStr">
        <is>
          <t>Đá dăm 1x2 sạch</t>
        </is>
      </c>
      <c r="G117" s="31" t="inlineStr">
        <is>
          <t>m3</t>
        </is>
      </c>
      <c r="H117" s="56" t="n">
        <v>0.84</v>
      </c>
      <c r="I117" s="42">
        <f>D114*H117</f>
        <v/>
      </c>
      <c r="J117" s="30" t="inlineStr">
        <is>
          <t>TCVN 7570:2006</t>
        </is>
      </c>
    </row>
    <row r="118">
      <c r="A118" s="19" t="n"/>
      <c r="B118" s="19" t="n"/>
      <c r="C118" s="30" t="inlineStr">
        <is>
          <t xml:space="preserve">   • Nước sạch trộn bê tông</t>
        </is>
      </c>
      <c r="D118" s="19" t="n"/>
      <c r="E118" s="19" t="n"/>
      <c r="F118" s="30" t="inlineStr">
        <is>
          <t>Nước sạch trộn bê tông</t>
        </is>
      </c>
      <c r="G118" s="31" t="inlineStr">
        <is>
          <t>Lít</t>
        </is>
      </c>
      <c r="H118" s="42" t="n">
        <v>180</v>
      </c>
      <c r="I118" s="42">
        <f>D114*H118</f>
        <v/>
      </c>
      <c r="J118" s="30" t="inlineStr">
        <is>
          <t>TCVN 4506:2012</t>
        </is>
      </c>
    </row>
    <row r="119">
      <c r="A119" s="19" t="n"/>
      <c r="B119" s="19" t="n"/>
      <c r="C119" s="30" t="inlineStr">
        <is>
          <t xml:space="preserve">   • Thép bản quá độ dọc vằn Ø16 (CB400-V)</t>
        </is>
      </c>
      <c r="D119" s="19" t="n"/>
      <c r="E119" s="19" t="n"/>
      <c r="F119" s="30" t="inlineStr">
        <is>
          <t>Thép bản quá độ dọc vằn Ø16 (CB400-V)</t>
        </is>
      </c>
      <c r="G119" s="31" t="inlineStr">
        <is>
          <t>kg</t>
        </is>
      </c>
      <c r="H119" s="42" t="n">
        <v>110</v>
      </c>
      <c r="I119" s="42">
        <f>D114*H119</f>
        <v/>
      </c>
      <c r="J119" s="30" t="inlineStr">
        <is>
          <t>TCVN 1651:2018</t>
        </is>
      </c>
    </row>
    <row r="120">
      <c r="A120" s="19" t="n"/>
      <c r="B120" s="19" t="n"/>
      <c r="C120" s="30" t="inlineStr">
        <is>
          <t xml:space="preserve">   • Thép bản quá độ phân bố vằn Ø12 (CB400-V)</t>
        </is>
      </c>
      <c r="D120" s="19" t="n"/>
      <c r="E120" s="19" t="n"/>
      <c r="F120" s="30" t="inlineStr">
        <is>
          <t>Thép bản quá độ phân bố vằn Ø12 (CB400-V)</t>
        </is>
      </c>
      <c r="G120" s="31" t="inlineStr">
        <is>
          <t>kg</t>
        </is>
      </c>
      <c r="H120" s="42" t="n">
        <v>25</v>
      </c>
      <c r="I120" s="42">
        <f>D114*H120</f>
        <v/>
      </c>
      <c r="J120" s="30" t="inlineStr">
        <is>
          <t>TCVN 1651:2018</t>
        </is>
      </c>
    </row>
    <row r="121">
      <c r="A121" s="52" t="n">
        <v>22</v>
      </c>
      <c r="B121" s="52" t="inlineStr">
        <is>
          <t>AB.21111</t>
        </is>
      </c>
      <c r="C121" s="53" t="inlineStr">
        <is>
          <t>Đắp vật liệu dạng hạt chọn lọc sau mố K98</t>
        </is>
      </c>
      <c r="D121" s="54">
        <f>QS_DIEN_GIAI_CHI_TIET!J89</f>
        <v/>
      </c>
      <c r="E121" s="52" t="inlineStr">
        <is>
          <t>m3</t>
        </is>
      </c>
      <c r="F121" s="55" t="n"/>
      <c r="G121" s="55" t="n"/>
      <c r="H121" s="55" t="n"/>
      <c r="I121" s="55" t="n"/>
      <c r="J121" s="55" t="n"/>
    </row>
    <row r="122">
      <c r="A122" s="19" t="n"/>
      <c r="B122" s="19" t="n"/>
      <c r="C122" s="30" t="inlineStr">
        <is>
          <t xml:space="preserve">   • Đất đắp nền đường sau mố K98</t>
        </is>
      </c>
      <c r="D122" s="19" t="n"/>
      <c r="E122" s="19" t="n"/>
      <c r="F122" s="30" t="inlineStr">
        <is>
          <t>Đất đắp nền đường sau mố K98</t>
        </is>
      </c>
      <c r="G122" s="31" t="inlineStr">
        <is>
          <t>m3</t>
        </is>
      </c>
      <c r="H122" s="42" t="n">
        <v>1.15</v>
      </c>
      <c r="I122" s="42">
        <f>D121*H122</f>
        <v/>
      </c>
      <c r="J122" s="30" t="inlineStr">
        <is>
          <t>TCVN 9436:2012</t>
        </is>
      </c>
    </row>
    <row r="123">
      <c r="A123" s="19" t="n"/>
      <c r="B123" s="19" t="n"/>
      <c r="C123" s="30" t="inlineStr">
        <is>
          <t xml:space="preserve">   • Vải địa kỹ thuật không dệt lọc ngược</t>
        </is>
      </c>
      <c r="D123" s="19" t="n"/>
      <c r="E123" s="19" t="n"/>
      <c r="F123" s="30" t="inlineStr">
        <is>
          <t>Vải địa kỹ thuật không dệt lọc ngược</t>
        </is>
      </c>
      <c r="G123" s="31" t="inlineStr">
        <is>
          <t>m2</t>
        </is>
      </c>
      <c r="H123" s="56" t="n">
        <v>0.45</v>
      </c>
      <c r="I123" s="42">
        <f>D121*H123</f>
        <v/>
      </c>
      <c r="J123" s="30" t="inlineStr">
        <is>
          <t>TCVN 9865:2013</t>
        </is>
      </c>
    </row>
    <row r="124">
      <c r="A124" s="52" t="n">
        <v>23</v>
      </c>
      <c r="B124" s="52" t="inlineStr">
        <is>
          <t>AF.42111</t>
        </is>
      </c>
      <c r="C124" s="53" t="inlineStr">
        <is>
          <t>Bê tông gờ lan can mác C25 và lắp tay vịn thép</t>
        </is>
      </c>
      <c r="D124" s="54">
        <f>QS_DIEN_GIAI_CHI_TIET!J91</f>
        <v/>
      </c>
      <c r="E124" s="52" t="inlineStr">
        <is>
          <t>m</t>
        </is>
      </c>
      <c r="F124" s="55" t="n"/>
      <c r="G124" s="55" t="n"/>
      <c r="H124" s="55" t="n"/>
      <c r="I124" s="55" t="n"/>
      <c r="J124" s="55" t="n"/>
    </row>
    <row r="125">
      <c r="A125" s="19" t="n"/>
      <c r="B125" s="19" t="n"/>
      <c r="C125" s="30" t="inlineStr">
        <is>
          <t xml:space="preserve">   • Xi măng PCB40 gờ lan can</t>
        </is>
      </c>
      <c r="D125" s="19" t="n"/>
      <c r="E125" s="19" t="n"/>
      <c r="F125" s="30" t="inlineStr">
        <is>
          <t>Xi măng PCB40 gờ lan can</t>
        </is>
      </c>
      <c r="G125" s="31" t="inlineStr">
        <is>
          <t>kg</t>
        </is>
      </c>
      <c r="H125" s="42" t="n">
        <v>33.25</v>
      </c>
      <c r="I125" s="42">
        <f>D124*H125</f>
        <v/>
      </c>
      <c r="J125" s="30" t="inlineStr">
        <is>
          <t>TCVN 6260:2020</t>
        </is>
      </c>
    </row>
    <row r="126">
      <c r="A126" s="19" t="n"/>
      <c r="B126" s="19" t="n"/>
      <c r="C126" s="30" t="inlineStr">
        <is>
          <t xml:space="preserve">   • Cát vàng</t>
        </is>
      </c>
      <c r="D126" s="19" t="n"/>
      <c r="E126" s="19" t="n"/>
      <c r="F126" s="30" t="inlineStr">
        <is>
          <t>Cát vàng</t>
        </is>
      </c>
      <c r="G126" s="31" t="inlineStr">
        <is>
          <t>m3</t>
        </is>
      </c>
      <c r="H126" s="56" t="n">
        <v>0.046</v>
      </c>
      <c r="I126" s="42">
        <f>D124*H126</f>
        <v/>
      </c>
      <c r="J126" s="30" t="inlineStr">
        <is>
          <t>TCVN 7570:2006</t>
        </is>
      </c>
    </row>
    <row r="127">
      <c r="A127" s="19" t="n"/>
      <c r="B127" s="19" t="n"/>
      <c r="C127" s="30" t="inlineStr">
        <is>
          <t xml:space="preserve">   • Đá dăm 1x2</t>
        </is>
      </c>
      <c r="D127" s="19" t="n"/>
      <c r="E127" s="19" t="n"/>
      <c r="F127" s="30" t="inlineStr">
        <is>
          <t>Đá dăm 1x2</t>
        </is>
      </c>
      <c r="G127" s="31" t="inlineStr">
        <is>
          <t>m3</t>
        </is>
      </c>
      <c r="H127" s="56" t="n">
        <v>0.081</v>
      </c>
      <c r="I127" s="42">
        <f>D124*H127</f>
        <v/>
      </c>
      <c r="J127" s="30" t="inlineStr">
        <is>
          <t>TCVN 7570:2006</t>
        </is>
      </c>
    </row>
    <row r="128">
      <c r="A128" s="19" t="n"/>
      <c r="B128" s="19" t="n"/>
      <c r="C128" s="30" t="inlineStr">
        <is>
          <t xml:space="preserve">   • Thép cốt gờ lan can vằn Ø12 (CB400-V)</t>
        </is>
      </c>
      <c r="D128" s="19" t="n"/>
      <c r="E128" s="19" t="n"/>
      <c r="F128" s="30" t="inlineStr">
        <is>
          <t>Thép cốt gờ lan can vằn Ø12 (CB400-V)</t>
        </is>
      </c>
      <c r="G128" s="31" t="inlineStr">
        <is>
          <t>kg</t>
        </is>
      </c>
      <c r="H128" s="42" t="n">
        <v>12.5</v>
      </c>
      <c r="I128" s="42">
        <f>D124*H128</f>
        <v/>
      </c>
      <c r="J128" s="30" t="inlineStr">
        <is>
          <t>TCVN 1651:2018</t>
        </is>
      </c>
    </row>
    <row r="129">
      <c r="A129" s="19" t="n"/>
      <c r="B129" s="19" t="n"/>
      <c r="C129" s="30" t="inlineStr">
        <is>
          <t xml:space="preserve">   • Tay vịn lan can thép mạ kẽm nhúng nóng Ø114</t>
        </is>
      </c>
      <c r="D129" s="19" t="n"/>
      <c r="E129" s="19" t="n"/>
      <c r="F129" s="30" t="inlineStr">
        <is>
          <t>Tay vịn lan can thép mạ kẽm nhúng nóng Ø114</t>
        </is>
      </c>
      <c r="G129" s="31" t="inlineStr">
        <is>
          <t>m</t>
        </is>
      </c>
      <c r="H129" s="42" t="n">
        <v>1.05</v>
      </c>
      <c r="I129" s="42">
        <f>D124*H129</f>
        <v/>
      </c>
      <c r="J129" s="30" t="inlineStr">
        <is>
          <t>TCVN 11823:2017</t>
        </is>
      </c>
    </row>
    <row r="130">
      <c r="A130" s="52" t="n">
        <v>24</v>
      </c>
      <c r="B130" s="52" t="inlineStr">
        <is>
          <t>AC.41111</t>
        </is>
      </c>
      <c r="C130" s="53" t="inlineStr">
        <is>
          <t>Hệ thống thoát nước mặt cầu (24 cụm hố thu &amp; ống dẫn)</t>
        </is>
      </c>
      <c r="D130" s="54">
        <f>QS_DIEN_GIAI_CHI_TIET!J93</f>
        <v/>
      </c>
      <c r="E130" s="52" t="inlineStr">
        <is>
          <t>Bộ</t>
        </is>
      </c>
      <c r="F130" s="55" t="n"/>
      <c r="G130" s="55" t="n"/>
      <c r="H130" s="55" t="n"/>
      <c r="I130" s="55" t="n"/>
      <c r="J130" s="55" t="n"/>
    </row>
    <row r="131">
      <c r="A131" s="19" t="n"/>
      <c r="B131" s="19" t="n"/>
      <c r="C131" s="30" t="inlineStr">
        <is>
          <t xml:space="preserve">   • Phễu gang thu nước mặt cầu có lưới chắn</t>
        </is>
      </c>
      <c r="D131" s="19" t="n"/>
      <c r="E131" s="19" t="n"/>
      <c r="F131" s="30" t="inlineStr">
        <is>
          <t>Phễu gang thu nước mặt cầu có lưới chắn</t>
        </is>
      </c>
      <c r="G131" s="31" t="inlineStr">
        <is>
          <t>Bộ</t>
        </is>
      </c>
      <c r="H131" s="42" t="n">
        <v>1</v>
      </c>
      <c r="I131" s="42">
        <f>D130*H131</f>
        <v/>
      </c>
      <c r="J131" s="30" t="inlineStr">
        <is>
          <t>TCVN 11823:2017</t>
        </is>
      </c>
    </row>
    <row r="132">
      <c r="A132" s="19" t="n"/>
      <c r="B132" s="19" t="n"/>
      <c r="C132" s="30" t="inlineStr">
        <is>
          <t xml:space="preserve">   • Ống thoát nước nhựa uPVC Ø110 dày 3.2mm</t>
        </is>
      </c>
      <c r="D132" s="19" t="n"/>
      <c r="E132" s="19" t="n"/>
      <c r="F132" s="30" t="inlineStr">
        <is>
          <t>Ống thoát nước nhựa uPVC Ø110 dày 3.2mm</t>
        </is>
      </c>
      <c r="G132" s="31" t="inlineStr">
        <is>
          <t>m</t>
        </is>
      </c>
      <c r="H132" s="42" t="n">
        <v>3.5</v>
      </c>
      <c r="I132" s="42">
        <f>D130*H132</f>
        <v/>
      </c>
      <c r="J132" s="30" t="inlineStr">
        <is>
          <t>TCVN 8491:2011</t>
        </is>
      </c>
    </row>
    <row r="133">
      <c r="A133" s="52" t="n">
        <v>25</v>
      </c>
      <c r="B133" s="52" t="inlineStr">
        <is>
          <t>AD.11111</t>
        </is>
      </c>
      <c r="C133" s="53" t="inlineStr">
        <is>
          <t>Lớp phun chống thấm &amp; thảm bê tông nhựa chặt C12.5 dày 7cm</t>
        </is>
      </c>
      <c r="D133" s="54">
        <f>QS_DIEN_GIAI_CHI_TIET!J95</f>
        <v/>
      </c>
      <c r="E133" s="52" t="inlineStr">
        <is>
          <t>m2</t>
        </is>
      </c>
      <c r="F133" s="55" t="n"/>
      <c r="G133" s="55" t="n"/>
      <c r="H133" s="55" t="n"/>
      <c r="I133" s="55" t="n"/>
      <c r="J133" s="55" t="n"/>
    </row>
    <row r="134">
      <c r="A134" s="19" t="n"/>
      <c r="B134" s="19" t="n"/>
      <c r="C134" s="30" t="inlineStr">
        <is>
          <t xml:space="preserve">   • Màng chống thấm mặt cầu Polymer cải tiến</t>
        </is>
      </c>
      <c r="D134" s="19" t="n"/>
      <c r="E134" s="19" t="n"/>
      <c r="F134" s="30" t="inlineStr">
        <is>
          <t>Màng chống thấm mặt cầu Polymer cải tiến</t>
        </is>
      </c>
      <c r="G134" s="31" t="inlineStr">
        <is>
          <t>m2</t>
        </is>
      </c>
      <c r="H134" s="42" t="n">
        <v>1.15</v>
      </c>
      <c r="I134" s="42">
        <f>D133*H134</f>
        <v/>
      </c>
      <c r="J134" s="30" t="inlineStr">
        <is>
          <t>TCVN 11823:2017</t>
        </is>
      </c>
    </row>
    <row r="135">
      <c r="A135" s="19" t="n"/>
      <c r="B135" s="19" t="n"/>
      <c r="C135" s="30" t="inlineStr">
        <is>
          <t xml:space="preserve">   • Bê tông nhựa chặt C12.5 rải nóng</t>
        </is>
      </c>
      <c r="D135" s="19" t="n"/>
      <c r="E135" s="19" t="n"/>
      <c r="F135" s="30" t="inlineStr">
        <is>
          <t>Bê tông nhựa chặt C12.5 rải nóng</t>
        </is>
      </c>
      <c r="G135" s="31" t="inlineStr">
        <is>
          <t>Tấn</t>
        </is>
      </c>
      <c r="H135" s="56" t="n">
        <v>0.175</v>
      </c>
      <c r="I135" s="42">
        <f>D133*H135</f>
        <v/>
      </c>
      <c r="J135" s="30" t="inlineStr">
        <is>
          <t>TCVN 8819:2011</t>
        </is>
      </c>
    </row>
    <row r="136">
      <c r="A136" s="19" t="n"/>
      <c r="B136" s="19" t="n"/>
      <c r="C136" s="30" t="inlineStr">
        <is>
          <t xml:space="preserve">   • Nhựa dính bám Tack coat</t>
        </is>
      </c>
      <c r="D136" s="19" t="n"/>
      <c r="E136" s="19" t="n"/>
      <c r="F136" s="30" t="inlineStr">
        <is>
          <t>Nhựa dính bám Tack coat</t>
        </is>
      </c>
      <c r="G136" s="31" t="inlineStr">
        <is>
          <t>kg</t>
        </is>
      </c>
      <c r="H136" s="56" t="n">
        <v>0.5</v>
      </c>
      <c r="I136" s="42">
        <f>D133*H136</f>
        <v/>
      </c>
      <c r="J136" s="30" t="inlineStr">
        <is>
          <t>TCVN 8819:2011</t>
        </is>
      </c>
    </row>
    <row r="137">
      <c r="A137" s="52" t="n">
        <v>26</v>
      </c>
      <c r="B137" s="52" t="inlineStr">
        <is>
          <t>AL.11111</t>
        </is>
      </c>
      <c r="C137" s="53" t="inlineStr">
        <is>
          <t>Gia cố mái taluy tứ nón mố bằng đá hộc xây VXM M100</t>
        </is>
      </c>
      <c r="D137" s="54">
        <f>QS_DIEN_GIAI_CHI_TIET!J97</f>
        <v/>
      </c>
      <c r="E137" s="52" t="inlineStr">
        <is>
          <t>m3</t>
        </is>
      </c>
      <c r="F137" s="55" t="n"/>
      <c r="G137" s="55" t="n"/>
      <c r="H137" s="55" t="n"/>
      <c r="I137" s="55" t="n"/>
      <c r="J137" s="55" t="n"/>
    </row>
    <row r="138">
      <c r="A138" s="19" t="n"/>
      <c r="B138" s="19" t="n"/>
      <c r="C138" s="30" t="inlineStr">
        <is>
          <t xml:space="preserve">   • Đá hộc 20x30cm kè tứ nón</t>
        </is>
      </c>
      <c r="D138" s="19" t="n"/>
      <c r="E138" s="19" t="n"/>
      <c r="F138" s="30" t="inlineStr">
        <is>
          <t>Đá hộc 20x30cm kè tứ nón</t>
        </is>
      </c>
      <c r="G138" s="31" t="inlineStr">
        <is>
          <t>m3</t>
        </is>
      </c>
      <c r="H138" s="42" t="n">
        <v>1.05</v>
      </c>
      <c r="I138" s="42">
        <f>D137*H138</f>
        <v/>
      </c>
      <c r="J138" s="30" t="inlineStr">
        <is>
          <t>TCVN 11823:2017</t>
        </is>
      </c>
    </row>
    <row r="139">
      <c r="A139" s="19" t="n"/>
      <c r="B139" s="19" t="n"/>
      <c r="C139" s="30" t="inlineStr">
        <is>
          <t xml:space="preserve">   • Xi măng PCB40 vữa xây M100</t>
        </is>
      </c>
      <c r="D139" s="19" t="n"/>
      <c r="E139" s="19" t="n"/>
      <c r="F139" s="30" t="inlineStr">
        <is>
          <t>Xi măng PCB40 vữa xây M100</t>
        </is>
      </c>
      <c r="G139" s="31" t="inlineStr">
        <is>
          <t>kg</t>
        </is>
      </c>
      <c r="H139" s="42" t="n">
        <v>119.7</v>
      </c>
      <c r="I139" s="42">
        <f>D137*H139</f>
        <v/>
      </c>
      <c r="J139" s="30" t="inlineStr">
        <is>
          <t>TCVN 6260:2020</t>
        </is>
      </c>
    </row>
    <row r="140">
      <c r="A140" s="19" t="n"/>
      <c r="B140" s="19" t="n"/>
      <c r="C140" s="30" t="inlineStr">
        <is>
          <t xml:space="preserve">   • Cát vàng vữa xây M100</t>
        </is>
      </c>
      <c r="D140" s="19" t="n"/>
      <c r="E140" s="19" t="n"/>
      <c r="F140" s="30" t="inlineStr">
        <is>
          <t>Cát vàng vữa xây M100</t>
        </is>
      </c>
      <c r="G140" s="31" t="inlineStr">
        <is>
          <t>m3</t>
        </is>
      </c>
      <c r="H140" s="56" t="n">
        <v>0.4</v>
      </c>
      <c r="I140" s="42">
        <f>D137*H140</f>
        <v/>
      </c>
      <c r="J140" s="30" t="inlineStr">
        <is>
          <t>TCVN 7570:2006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K43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24" customWidth="1" min="3" max="3"/>
    <col width="10" customWidth="1" min="4" max="4"/>
    <col width="24" customWidth="1" min="5" max="5"/>
    <col width="20" customWidth="1" min="6" max="6"/>
    <col width="26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TỔNG HỢP NHU CẦU VẬT TƯ TOÀN CÔNG TRÌNH &amp; KẾ HOẠCH CUNG ỨNG (BOM)</t>
        </is>
      </c>
    </row>
    <row r="4">
      <c r="B4" s="3" t="inlineStr">
        <is>
          <t>Tổng hợp tự động 100% công thức (=SUMIF) từ bảng phân rã WBS; Kế hoạch phân bổ theo 4 giai đoạn thi công</t>
        </is>
      </c>
    </row>
    <row r="5" ht="28" customHeight="1">
      <c r="A5" s="4" t="inlineStr">
        <is>
          <t>TT</t>
        </is>
      </c>
      <c r="B5" s="4" t="inlineStr">
        <is>
          <t>Tên chủng loại vật tư</t>
        </is>
      </c>
      <c r="C5" s="4" t="inlineStr">
        <is>
          <t>Tiêu chuẩn kỹ thuật</t>
        </is>
      </c>
      <c r="D5" s="4" t="inlineStr">
        <is>
          <t>ĐVT</t>
        </is>
      </c>
      <c r="E5" s="4" t="inlineStr">
        <is>
          <t>Hao phí định mức lý thuyết</t>
        </is>
      </c>
      <c r="F5" s="4" t="inlineStr">
        <is>
          <t>Tỷ lệ hao hụt TT12 (%)</t>
        </is>
      </c>
      <c r="G5" s="4" t="inlineStr">
        <is>
          <t>Tổng nhu cầu cung ứng (BOM)</t>
        </is>
      </c>
      <c r="H5" s="4" t="inlineStr">
        <is>
          <t>GĐ 1: Cọc nhồi</t>
        </is>
      </c>
      <c r="I5" s="4" t="inlineStr">
        <is>
          <t>GĐ 2: Mố &amp; Trụ</t>
        </is>
      </c>
      <c r="J5" s="4" t="inlineStr">
        <is>
          <t>GĐ 3: Dầm &amp; Mặt cầu</t>
        </is>
      </c>
      <c r="K5" s="4" t="inlineStr">
        <is>
          <t>GĐ 4: Hoàn thiện</t>
        </is>
      </c>
    </row>
    <row r="6" ht="22" customHeight="1">
      <c r="A6" s="57" t="n"/>
      <c r="B6" s="58" t="inlineStr">
        <is>
          <t>I. SẮT THÉP CÁC LOẠI (CỐT THÉP, CÁP DỰ ỨNG LỰC &amp; PHỤ KIỆN)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</row>
    <row r="7" ht="20" customHeight="1">
      <c r="A7" s="31" t="inlineStr">
        <is>
          <t>1</t>
        </is>
      </c>
      <c r="B7" s="30" t="inlineStr">
        <is>
          <t>Thép đai tròn trơn Ø10 (CB240-T)</t>
        </is>
      </c>
      <c r="C7" s="30" t="inlineStr">
        <is>
          <t>TCVN 1651:2018</t>
        </is>
      </c>
      <c r="D7" s="31" t="inlineStr">
        <is>
          <t>Tấn</t>
        </is>
      </c>
      <c r="E7" s="42">
        <f>SUMIF(PHAN_TICH_VAT_TU_WBS!$F$6:$F$140, "*Ø10*", PHAN_TICH_VAT_TU_WBS!$I$6:$I$140)</f>
        <v/>
      </c>
      <c r="F7" s="59" t="n">
        <v>0.015</v>
      </c>
      <c r="G7" s="60">
        <f>E7*(1+F7)</f>
        <v/>
      </c>
      <c r="H7" s="42">
        <f>G7*0.4</f>
        <v/>
      </c>
      <c r="I7" s="42">
        <f>G7*0.2</f>
        <v/>
      </c>
      <c r="J7" s="42">
        <f>G7*0.4</f>
        <v/>
      </c>
      <c r="K7" s="42">
        <f>G7*0.0</f>
        <v/>
      </c>
    </row>
    <row r="8" ht="20" customHeight="1">
      <c r="A8" s="31" t="inlineStr">
        <is>
          <t>2</t>
        </is>
      </c>
      <c r="B8" s="30" t="inlineStr">
        <is>
          <t>Thép cốt vằn Ø12 (CB400-V)</t>
        </is>
      </c>
      <c r="C8" s="30" t="inlineStr">
        <is>
          <t>TCVN 1651:2018</t>
        </is>
      </c>
      <c r="D8" s="31" t="inlineStr">
        <is>
          <t>Tấn</t>
        </is>
      </c>
      <c r="E8" s="42">
        <f>SUMIF(PHAN_TICH_VAT_TU_WBS!$F$6:$F$140, "*Ø12*", PHAN_TICH_VAT_TU_WBS!$I$6:$I$140)/1000</f>
        <v/>
      </c>
      <c r="F8" s="59" t="n">
        <v>0.015</v>
      </c>
      <c r="G8" s="60">
        <f>E8*(1+F8)</f>
        <v/>
      </c>
      <c r="H8" s="42">
        <f>G8*0.0</f>
        <v/>
      </c>
      <c r="I8" s="42">
        <f>G8*0.0</f>
        <v/>
      </c>
      <c r="J8" s="42">
        <f>G8*0.0</f>
        <v/>
      </c>
      <c r="K8" s="42">
        <f>G8*1.0</f>
        <v/>
      </c>
    </row>
    <row r="9" ht="20" customHeight="1">
      <c r="A9" s="31" t="inlineStr">
        <is>
          <t>3</t>
        </is>
      </c>
      <c r="B9" s="30" t="inlineStr">
        <is>
          <t>Thép bản cánh &amp; mặt cầu vằn Ø14 (CB400-V)</t>
        </is>
      </c>
      <c r="C9" s="30" t="inlineStr">
        <is>
          <t>TCVN 1651:2018</t>
        </is>
      </c>
      <c r="D9" s="31" t="inlineStr">
        <is>
          <t>Tấn</t>
        </is>
      </c>
      <c r="E9" s="42">
        <f>SUMIF(PHAN_TICH_VAT_TU_WBS!$F$6:$F$140, "*Ø14*", PHAN_TICH_VAT_TU_WBS!$I$6:$I$140)</f>
        <v/>
      </c>
      <c r="F9" s="59" t="n">
        <v>0.015</v>
      </c>
      <c r="G9" s="60">
        <f>E9*(1+F9)</f>
        <v/>
      </c>
      <c r="H9" s="42">
        <f>G9*0.0</f>
        <v/>
      </c>
      <c r="I9" s="42">
        <f>G9*0.0</f>
        <v/>
      </c>
      <c r="J9" s="42">
        <f>G9*1.0</f>
        <v/>
      </c>
      <c r="K9" s="42">
        <f>G9*0.0</f>
        <v/>
      </c>
    </row>
    <row r="10" ht="20" customHeight="1">
      <c r="A10" s="31" t="inlineStr">
        <is>
          <t>4</t>
        </is>
      </c>
      <c r="B10" s="30" t="inlineStr">
        <is>
          <t>Thép đai &amp; sườn dầm vằn Ø16 (CB400-V)</t>
        </is>
      </c>
      <c r="C10" s="30" t="inlineStr">
        <is>
          <t>TCVN 1651:2018</t>
        </is>
      </c>
      <c r="D10" s="31" t="inlineStr">
        <is>
          <t>Tấn</t>
        </is>
      </c>
      <c r="E10" s="42">
        <f>SUMIF(PHAN_TICH_VAT_TU_WBS!$F$6:$F$140, "*Ø16*", PHAN_TICH_VAT_TU_WBS!$I$6:$I$140)</f>
        <v/>
      </c>
      <c r="F10" s="59" t="n">
        <v>0.015</v>
      </c>
      <c r="G10" s="60">
        <f>E10*(1+F10)</f>
        <v/>
      </c>
      <c r="H10" s="42">
        <f>G10*0.25</f>
        <v/>
      </c>
      <c r="I10" s="42">
        <f>G10*0.15</f>
        <v/>
      </c>
      <c r="J10" s="42">
        <f>G10*0.5</f>
        <v/>
      </c>
      <c r="K10" s="42">
        <f>G10*0.1</f>
        <v/>
      </c>
    </row>
    <row r="11" ht="20" customHeight="1">
      <c r="A11" s="31" t="inlineStr">
        <is>
          <t>5</t>
        </is>
      </c>
      <c r="B11" s="30" t="inlineStr">
        <is>
          <t>Thép phân bố bệ móng vằn Ø20 (CB500-V)</t>
        </is>
      </c>
      <c r="C11" s="30" t="inlineStr">
        <is>
          <t>TCVN 1651:2018</t>
        </is>
      </c>
      <c r="D11" s="31" t="inlineStr">
        <is>
          <t>Tấn</t>
        </is>
      </c>
      <c r="E11" s="42">
        <f>SUMIF(PHAN_TICH_VAT_TU_WBS!$F$6:$F$140, "*Ø20*", PHAN_TICH_VAT_TU_WBS!$I$6:$I$140)</f>
        <v/>
      </c>
      <c r="F11" s="59" t="n">
        <v>0.015</v>
      </c>
      <c r="G11" s="60">
        <f>E11*(1+F11)</f>
        <v/>
      </c>
      <c r="H11" s="42">
        <f>G11*0.0</f>
        <v/>
      </c>
      <c r="I11" s="42">
        <f>G11*1.0</f>
        <v/>
      </c>
      <c r="J11" s="42">
        <f>G11*0.0</f>
        <v/>
      </c>
      <c r="K11" s="42">
        <f>G11*0.0</f>
        <v/>
      </c>
    </row>
    <row r="12" ht="20" customHeight="1">
      <c r="A12" s="31" t="inlineStr">
        <is>
          <t>6</t>
        </is>
      </c>
      <c r="B12" s="30" t="inlineStr">
        <is>
          <t>Thép chủ cọc khoan nhồi vằn Ø25 (CB500-V)</t>
        </is>
      </c>
      <c r="C12" s="30" t="inlineStr">
        <is>
          <t>TCVN 1651:2018</t>
        </is>
      </c>
      <c r="D12" s="31" t="inlineStr">
        <is>
          <t>Tấn</t>
        </is>
      </c>
      <c r="E12" s="42">
        <f>SUMIF(PHAN_TICH_VAT_TU_WBS!$F$6:$F$140, "*Ø25*", PHAN_TICH_VAT_TU_WBS!$I$6:$I$140)</f>
        <v/>
      </c>
      <c r="F12" s="59" t="n">
        <v>0.015</v>
      </c>
      <c r="G12" s="60">
        <f>E12*(1+F12)</f>
        <v/>
      </c>
      <c r="H12" s="42">
        <f>G12*1.0</f>
        <v/>
      </c>
      <c r="I12" s="42">
        <f>G12*0.0</f>
        <v/>
      </c>
      <c r="J12" s="42">
        <f>G12*0.0</f>
        <v/>
      </c>
      <c r="K12" s="42">
        <f>G12*0.0</f>
        <v/>
      </c>
    </row>
    <row r="13" ht="20" customHeight="1">
      <c r="A13" s="31" t="inlineStr">
        <is>
          <t>7</t>
        </is>
      </c>
      <c r="B13" s="30" t="inlineStr">
        <is>
          <t>Thép thân mố &amp; xà mũ vằn Ø28 (CB500-V)</t>
        </is>
      </c>
      <c r="C13" s="30" t="inlineStr">
        <is>
          <t>TCVN 1651:2018</t>
        </is>
      </c>
      <c r="D13" s="31" t="inlineStr">
        <is>
          <t>Tấn</t>
        </is>
      </c>
      <c r="E13" s="42">
        <f>SUMIF(PHAN_TICH_VAT_TU_WBS!$F$6:$F$140, "*Ø28*", PHAN_TICH_VAT_TU_WBS!$I$6:$I$140)</f>
        <v/>
      </c>
      <c r="F13" s="59" t="n">
        <v>0.015</v>
      </c>
      <c r="G13" s="60">
        <f>E13*(1+F13)</f>
        <v/>
      </c>
      <c r="H13" s="42">
        <f>G13*0.0</f>
        <v/>
      </c>
      <c r="I13" s="42">
        <f>G13*1.0</f>
        <v/>
      </c>
      <c r="J13" s="42">
        <f>G13*0.0</f>
        <v/>
      </c>
      <c r="K13" s="42">
        <f>G13*0.0</f>
        <v/>
      </c>
    </row>
    <row r="14" ht="20" customHeight="1">
      <c r="A14" s="31" t="inlineStr">
        <is>
          <t>8</t>
        </is>
      </c>
      <c r="B14" s="30" t="inlineStr">
        <is>
          <t>Thép bệ móng &amp; thân trụ vằn Ø32 (CB500-V)</t>
        </is>
      </c>
      <c r="C14" s="30" t="inlineStr">
        <is>
          <t>TCVN 1651:2018</t>
        </is>
      </c>
      <c r="D14" s="31" t="inlineStr">
        <is>
          <t>Tấn</t>
        </is>
      </c>
      <c r="E14" s="42">
        <f>SUMIF(PHAN_TICH_VAT_TU_WBS!$F$6:$F$140, "*Ø32*", PHAN_TICH_VAT_TU_WBS!$I$6:$I$140)</f>
        <v/>
      </c>
      <c r="F14" s="59" t="n">
        <v>0.015</v>
      </c>
      <c r="G14" s="60">
        <f>E14*(1+F14)</f>
        <v/>
      </c>
      <c r="H14" s="42">
        <f>G14*0.0</f>
        <v/>
      </c>
      <c r="I14" s="42">
        <f>G14*1.0</f>
        <v/>
      </c>
      <c r="J14" s="42">
        <f>G14*0.0</f>
        <v/>
      </c>
      <c r="K14" s="42">
        <f>G14*0.0</f>
        <v/>
      </c>
    </row>
    <row r="15" ht="20" customHeight="1">
      <c r="A15" s="31" t="inlineStr">
        <is>
          <t>9</t>
        </is>
      </c>
      <c r="B15" s="30" t="inlineStr">
        <is>
          <t>Cáp dự ứng lực tao 15.2mm Grade 270</t>
        </is>
      </c>
      <c r="C15" s="30" t="inlineStr">
        <is>
          <t>ASTM A416 Gr270</t>
        </is>
      </c>
      <c r="D15" s="31" t="inlineStr">
        <is>
          <t>Tấn</t>
        </is>
      </c>
      <c r="E15" s="42">
        <f>SUMIF(PHAN_TICH_VAT_TU_WBS!$F$6:$F$140, "*Cáp dự ứng lực*", PHAN_TICH_VAT_TU_WBS!$I$6:$I$140)</f>
        <v/>
      </c>
      <c r="F15" s="59" t="n">
        <v>0.015</v>
      </c>
      <c r="G15" s="60">
        <f>E15*(1+F15)</f>
        <v/>
      </c>
      <c r="H15" s="42">
        <f>G15*0.0</f>
        <v/>
      </c>
      <c r="I15" s="42">
        <f>G15*0.0</f>
        <v/>
      </c>
      <c r="J15" s="42">
        <f>G15*1.0</f>
        <v/>
      </c>
      <c r="K15" s="42">
        <f>G15*0.0</f>
        <v/>
      </c>
    </row>
    <row r="16" ht="20" customHeight="1">
      <c r="A16" s="31" t="inlineStr">
        <is>
          <t>10</t>
        </is>
      </c>
      <c r="B16" s="30" t="inlineStr">
        <is>
          <t>Bộ neo chùm dự ứng lực công tác</t>
        </is>
      </c>
      <c r="C16" s="30" t="inlineStr">
        <is>
          <t>TCVN 11823:2017</t>
        </is>
      </c>
      <c r="D16" s="31" t="inlineStr">
        <is>
          <t>Bộ</t>
        </is>
      </c>
      <c r="E16" s="42">
        <f>SUMIF(PHAN_TICH_VAT_TU_WBS!$F$6:$F$140, "*Bộ neo chùm*", PHAN_TICH_VAT_TU_WBS!$I$6:$I$140)</f>
        <v/>
      </c>
      <c r="F16" s="59" t="n">
        <v>0.01</v>
      </c>
      <c r="G16" s="60">
        <f>E16*(1+F16)</f>
        <v/>
      </c>
      <c r="H16" s="42">
        <f>G16*0.0</f>
        <v/>
      </c>
      <c r="I16" s="42">
        <f>G16*0.0</f>
        <v/>
      </c>
      <c r="J16" s="42">
        <f>G16*1.0</f>
        <v/>
      </c>
      <c r="K16" s="42">
        <f>G16*0.0</f>
        <v/>
      </c>
    </row>
    <row r="17" ht="20" customHeight="1">
      <c r="A17" s="31" t="inlineStr">
        <is>
          <t>11</t>
        </is>
      </c>
      <c r="B17" s="30" t="inlineStr">
        <is>
          <t>Ống ghen tôn mạ kẽm luồn cáp DƯL</t>
        </is>
      </c>
      <c r="C17" s="30" t="inlineStr">
        <is>
          <t>TCVN 11823:2017</t>
        </is>
      </c>
      <c r="D17" s="31" t="inlineStr">
        <is>
          <t>m</t>
        </is>
      </c>
      <c r="E17" s="42">
        <f>SUMIF(PHAN_TICH_VAT_TU_WBS!$F$6:$F$140, "*Ống ghen tôn*", PHAN_TICH_VAT_TU_WBS!$I$6:$I$140)</f>
        <v/>
      </c>
      <c r="F17" s="59" t="n">
        <v>0.02</v>
      </c>
      <c r="G17" s="60">
        <f>E17*(1+F17)</f>
        <v/>
      </c>
      <c r="H17" s="42">
        <f>G17*0.0</f>
        <v/>
      </c>
      <c r="I17" s="42">
        <f>G17*0.0</f>
        <v/>
      </c>
      <c r="J17" s="42">
        <f>G17*1.0</f>
        <v/>
      </c>
      <c r="K17" s="42">
        <f>G17*0.0</f>
        <v/>
      </c>
    </row>
    <row r="18" ht="20" customHeight="1">
      <c r="A18" s="31" t="inlineStr">
        <is>
          <t>12</t>
        </is>
      </c>
      <c r="B18" s="30" t="inlineStr">
        <is>
          <t>Ống siêu âm cọc nhồi thép Ø60x2</t>
        </is>
      </c>
      <c r="C18" s="30" t="inlineStr">
        <is>
          <t>ASTM A53 / TCVN 9395</t>
        </is>
      </c>
      <c r="D18" s="31" t="inlineStr">
        <is>
          <t>m</t>
        </is>
      </c>
      <c r="E18" s="42">
        <f>SUMIF(PHAN_TICH_VAT_TU_WBS!$F$6:$F$140, "*Ống siêu âm*", PHAN_TICH_VAT_TU_WBS!$I$6:$I$140)</f>
        <v/>
      </c>
      <c r="F18" s="59" t="n">
        <v>0.01</v>
      </c>
      <c r="G18" s="60">
        <f>E18*(1+F18)</f>
        <v/>
      </c>
      <c r="H18" s="42">
        <f>G18*1.0</f>
        <v/>
      </c>
      <c r="I18" s="42">
        <f>G18*0.0</f>
        <v/>
      </c>
      <c r="J18" s="42">
        <f>G18*0.0</f>
        <v/>
      </c>
      <c r="K18" s="42">
        <f>G18*0.0</f>
        <v/>
      </c>
    </row>
    <row r="19" ht="20" customHeight="1">
      <c r="A19" s="31" t="inlineStr">
        <is>
          <t>13</t>
        </is>
      </c>
      <c r="B19" s="30" t="inlineStr">
        <is>
          <t>Ống vách thép dẫn hướng D1300 d=8mm</t>
        </is>
      </c>
      <c r="C19" s="30" t="inlineStr">
        <is>
          <t>TCVN 9395:2012</t>
        </is>
      </c>
      <c r="D19" s="31" t="inlineStr">
        <is>
          <t>Tấn</t>
        </is>
      </c>
      <c r="E19" s="42">
        <f>SUMIF(PHAN_TICH_VAT_TU_WBS!$F$6:$F$140, "*Ống vách thép*", PHAN_TICH_VAT_TU_WBS!$I$6:$I$140)</f>
        <v/>
      </c>
      <c r="F19" s="59" t="n">
        <v>0.02</v>
      </c>
      <c r="G19" s="60">
        <f>E19*(1+F19)</f>
        <v/>
      </c>
      <c r="H19" s="42">
        <f>G19*1.0</f>
        <v/>
      </c>
      <c r="I19" s="42">
        <f>G19*0.0</f>
        <v/>
      </c>
      <c r="J19" s="42">
        <f>G19*0.0</f>
        <v/>
      </c>
      <c r="K19" s="42">
        <f>G19*0.0</f>
        <v/>
      </c>
    </row>
    <row r="20" ht="20" customHeight="1">
      <c r="A20" s="31" t="inlineStr">
        <is>
          <t>14</t>
        </is>
      </c>
      <c r="B20" s="30" t="inlineStr">
        <is>
          <t>Tay vịn lan can thép mạ kẽm nhúng nóng Ø114</t>
        </is>
      </c>
      <c r="C20" s="30" t="inlineStr">
        <is>
          <t>TCVN 11823:2017</t>
        </is>
      </c>
      <c r="D20" s="31" t="inlineStr">
        <is>
          <t>m</t>
        </is>
      </c>
      <c r="E20" s="42">
        <f>SUMIF(PHAN_TICH_VAT_TU_WBS!$F$6:$F$140, "*Tay vịn*", PHAN_TICH_VAT_TU_WBS!$I$6:$I$140)</f>
        <v/>
      </c>
      <c r="F20" s="59" t="n">
        <v>0.02</v>
      </c>
      <c r="G20" s="60">
        <f>E20*(1+F20)</f>
        <v/>
      </c>
      <c r="H20" s="42">
        <f>G20*0.0</f>
        <v/>
      </c>
      <c r="I20" s="42">
        <f>G20*0.0</f>
        <v/>
      </c>
      <c r="J20" s="42">
        <f>G20*0.0</f>
        <v/>
      </c>
      <c r="K20" s="42">
        <f>G20*1.0</f>
        <v/>
      </c>
    </row>
    <row r="21" ht="20" customHeight="1">
      <c r="A21" s="31" t="inlineStr">
        <is>
          <t>15</t>
        </is>
      </c>
      <c r="B21" s="30" t="inlineStr">
        <is>
          <t>Thép tấm khe co giãn răng lược D=100mm</t>
        </is>
      </c>
      <c r="C21" s="30" t="inlineStr">
        <is>
          <t>TCVN 11823:2017</t>
        </is>
      </c>
      <c r="D21" s="31" t="inlineStr">
        <is>
          <t>m</t>
        </is>
      </c>
      <c r="E21" s="42">
        <f>SUMIF(PHAN_TICH_VAT_TU_WBS!$F$6:$F$140, "*Thép tấm răng lược*", PHAN_TICH_VAT_TU_WBS!$I$6:$I$140)</f>
        <v/>
      </c>
      <c r="F21" s="59" t="n">
        <v>0.01</v>
      </c>
      <c r="G21" s="60">
        <f>E21*(1+F21)</f>
        <v/>
      </c>
      <c r="H21" s="42">
        <f>G21*0.0</f>
        <v/>
      </c>
      <c r="I21" s="42">
        <f>G21*0.0</f>
        <v/>
      </c>
      <c r="J21" s="42">
        <f>G21*0.0</f>
        <v/>
      </c>
      <c r="K21" s="42">
        <f>G21*1.0</f>
        <v/>
      </c>
    </row>
    <row r="22" ht="20" customHeight="1">
      <c r="A22" s="31" t="inlineStr">
        <is>
          <t>16</t>
        </is>
      </c>
      <c r="B22" s="30" t="inlineStr">
        <is>
          <t>Dây thép buộc 1 ly</t>
        </is>
      </c>
      <c r="C22" s="30" t="inlineStr">
        <is>
          <t>TCVN 1651:2018</t>
        </is>
      </c>
      <c r="D22" s="31" t="inlineStr">
        <is>
          <t>kg</t>
        </is>
      </c>
      <c r="E22" s="42">
        <f>SUMIF(PHAN_TICH_VAT_TU_WBS!$F$6:$F$140, "*Dây thép buộc*", PHAN_TICH_VAT_TU_WBS!$I$6:$I$140)</f>
        <v/>
      </c>
      <c r="F22" s="59" t="n">
        <v>0.03</v>
      </c>
      <c r="G22" s="60">
        <f>E22*(1+F22)</f>
        <v/>
      </c>
      <c r="H22" s="42">
        <f>G22*0.35</f>
        <v/>
      </c>
      <c r="I22" s="42">
        <f>G22*0.25</f>
        <v/>
      </c>
      <c r="J22" s="42">
        <f>G22*0.35</f>
        <v/>
      </c>
      <c r="K22" s="42">
        <f>G22*0.05</f>
        <v/>
      </c>
    </row>
    <row r="23" ht="20" customHeight="1">
      <c r="A23" s="31" t="inlineStr">
        <is>
          <t>17</t>
        </is>
      </c>
      <c r="B23" s="30" t="inlineStr">
        <is>
          <t>Que hàn điện E42/E50</t>
        </is>
      </c>
      <c r="C23" s="30" t="inlineStr">
        <is>
          <t>TCVN 3223:2000</t>
        </is>
      </c>
      <c r="D23" s="31" t="inlineStr">
        <is>
          <t>kg</t>
        </is>
      </c>
      <c r="E23" s="42">
        <f>SUMIF(PHAN_TICH_VAT_TU_WBS!$F$6:$F$140, "*Que hàn điện*", PHAN_TICH_VAT_TU_WBS!$I$6:$I$140)</f>
        <v/>
      </c>
      <c r="F23" s="59" t="n">
        <v>0.03</v>
      </c>
      <c r="G23" s="60">
        <f>E23*(1+F23)</f>
        <v/>
      </c>
      <c r="H23" s="42">
        <f>G23*0.5</f>
        <v/>
      </c>
      <c r="I23" s="42">
        <f>G23*0.3</f>
        <v/>
      </c>
      <c r="J23" s="42">
        <f>G23*0.2</f>
        <v/>
      </c>
      <c r="K23" s="42">
        <f>G23*0.0</f>
        <v/>
      </c>
    </row>
    <row r="24" ht="22" customHeight="1">
      <c r="A24" s="57" t="n"/>
      <c r="B24" s="58" t="inlineStr">
        <is>
          <t>II. KHOÁNG XÂY DỰNG &amp; CẤP PHỐI BÊ TÔNG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</row>
    <row r="25" ht="20" customHeight="1">
      <c r="A25" s="31" t="inlineStr">
        <is>
          <t>18</t>
        </is>
      </c>
      <c r="B25" s="30" t="inlineStr">
        <is>
          <t>Xi măng PCB40 (quy đổi Tấn)</t>
        </is>
      </c>
      <c r="C25" s="30" t="inlineStr">
        <is>
          <t>TCVN 6260:2020</t>
        </is>
      </c>
      <c r="D25" s="31" t="inlineStr">
        <is>
          <t>Tấn</t>
        </is>
      </c>
      <c r="E25" s="42">
        <f>SUMIF(PHAN_TICH_VAT_TU_WBS!$F$6:$F$140, "*Xi măng PCB40*", PHAN_TICH_VAT_TU_WBS!$I$6:$I$140)/1000</f>
        <v/>
      </c>
      <c r="F25" s="59" t="n">
        <v>0.01</v>
      </c>
      <c r="G25" s="60">
        <f>E25*(1+F25)</f>
        <v/>
      </c>
      <c r="H25" s="42">
        <f>G25*0.25</f>
        <v/>
      </c>
      <c r="I25" s="42">
        <f>G25*0.3</f>
        <v/>
      </c>
      <c r="J25" s="42">
        <f>G25*0.4</f>
        <v/>
      </c>
      <c r="K25" s="42">
        <f>G25*0.05</f>
        <v/>
      </c>
    </row>
    <row r="26" ht="20" customHeight="1">
      <c r="A26" s="31" t="inlineStr">
        <is>
          <t>19</t>
        </is>
      </c>
      <c r="B26" s="30" t="inlineStr">
        <is>
          <t>Cát vàng sàng rửa đúc bê tông (Mk &gt;= 2.0)</t>
        </is>
      </c>
      <c r="C26" s="30" t="inlineStr">
        <is>
          <t>TCVN 7570:2006</t>
        </is>
      </c>
      <c r="D26" s="31" t="inlineStr">
        <is>
          <t>m3</t>
        </is>
      </c>
      <c r="E26" s="42">
        <f>SUMIF(PHAN_TICH_VAT_TU_WBS!$F$6:$F$140, "*Cát vàng*", PHAN_TICH_VAT_TU_WBS!$I$6:$I$140)</f>
        <v/>
      </c>
      <c r="F26" s="59" t="n">
        <v>0.025</v>
      </c>
      <c r="G26" s="60">
        <f>E26*(1+F26)</f>
        <v/>
      </c>
      <c r="H26" s="42">
        <f>G26*0.25</f>
        <v/>
      </c>
      <c r="I26" s="42">
        <f>G26*0.3</f>
        <v/>
      </c>
      <c r="J26" s="42">
        <f>G26*0.4</f>
        <v/>
      </c>
      <c r="K26" s="42">
        <f>G26*0.05</f>
        <v/>
      </c>
    </row>
    <row r="27" ht="20" customHeight="1">
      <c r="A27" s="31" t="inlineStr">
        <is>
          <t>20</t>
        </is>
      </c>
      <c r="B27" s="30" t="inlineStr">
        <is>
          <t>Đá dăm 1x2 sạch chọn lọc</t>
        </is>
      </c>
      <c r="C27" s="30" t="inlineStr">
        <is>
          <t>TCVN 7570:2006</t>
        </is>
      </c>
      <c r="D27" s="31" t="inlineStr">
        <is>
          <t>m3</t>
        </is>
      </c>
      <c r="E27" s="42">
        <f>SUMIF(PHAN_TICH_VAT_TU_WBS!$F$6:$F$140, "*Đá dăm 1x2*", PHAN_TICH_VAT_TU_WBS!$I$6:$I$140)</f>
        <v/>
      </c>
      <c r="F27" s="59" t="n">
        <v>0.025</v>
      </c>
      <c r="G27" s="60">
        <f>E27*(1+F27)</f>
        <v/>
      </c>
      <c r="H27" s="42">
        <f>G27*0.25</f>
        <v/>
      </c>
      <c r="I27" s="42">
        <f>G27*0.3</f>
        <v/>
      </c>
      <c r="J27" s="42">
        <f>G27*0.4</f>
        <v/>
      </c>
      <c r="K27" s="42">
        <f>G27*0.05</f>
        <v/>
      </c>
    </row>
    <row r="28" ht="20" customHeight="1">
      <c r="A28" s="31" t="inlineStr">
        <is>
          <t>21</t>
        </is>
      </c>
      <c r="B28" s="30" t="inlineStr">
        <is>
          <t>Đá hộc 20x30cm kè tứ nón mố</t>
        </is>
      </c>
      <c r="C28" s="30" t="inlineStr">
        <is>
          <t>TCVN 11823:2017</t>
        </is>
      </c>
      <c r="D28" s="31" t="inlineStr">
        <is>
          <t>m3</t>
        </is>
      </c>
      <c r="E28" s="42">
        <f>SUMIF(PHAN_TICH_VAT_TU_WBS!$F$6:$F$140, "*Đá hộc*", PHAN_TICH_VAT_TU_WBS!$I$6:$I$140)</f>
        <v/>
      </c>
      <c r="F28" s="59" t="n">
        <v>0.02</v>
      </c>
      <c r="G28" s="60">
        <f>E28*(1+F28)</f>
        <v/>
      </c>
      <c r="H28" s="42">
        <f>G28*0.0</f>
        <v/>
      </c>
      <c r="I28" s="42">
        <f>G28*0.0</f>
        <v/>
      </c>
      <c r="J28" s="42">
        <f>G28*0.0</f>
        <v/>
      </c>
      <c r="K28" s="42">
        <f>G28*1.0</f>
        <v/>
      </c>
    </row>
    <row r="29" ht="20" customHeight="1">
      <c r="A29" s="31" t="inlineStr">
        <is>
          <t>22</t>
        </is>
      </c>
      <c r="B29" s="30" t="inlineStr">
        <is>
          <t>Đất đắp nền đường sau mố K98</t>
        </is>
      </c>
      <c r="C29" s="30" t="inlineStr">
        <is>
          <t>TCVN 9436:2012</t>
        </is>
      </c>
      <c r="D29" s="31" t="inlineStr">
        <is>
          <t>m3</t>
        </is>
      </c>
      <c r="E29" s="42">
        <f>SUMIF(PHAN_TICH_VAT_TU_WBS!$F$6:$F$140, "*Đất đắp*", PHAN_TICH_VAT_TU_WBS!$I$6:$I$140)</f>
        <v/>
      </c>
      <c r="F29" s="59" t="n">
        <v>0.03</v>
      </c>
      <c r="G29" s="60">
        <f>E29*(1+F29)</f>
        <v/>
      </c>
      <c r="H29" s="42">
        <f>G29*0.0</f>
        <v/>
      </c>
      <c r="I29" s="42">
        <f>G29*0.0</f>
        <v/>
      </c>
      <c r="J29" s="42">
        <f>G29*0.0</f>
        <v/>
      </c>
      <c r="K29" s="42">
        <f>G29*1.0</f>
        <v/>
      </c>
    </row>
    <row r="30" ht="20" customHeight="1">
      <c r="A30" s="31" t="inlineStr">
        <is>
          <t>23</t>
        </is>
      </c>
      <c r="B30" s="30" t="inlineStr">
        <is>
          <t>Nước sạch thi công &amp; dưỡng hộ (quy đổi m3)</t>
        </is>
      </c>
      <c r="C30" s="30" t="inlineStr">
        <is>
          <t>TCVN 4506:2012</t>
        </is>
      </c>
      <c r="D30" s="31" t="inlineStr">
        <is>
          <t>m3</t>
        </is>
      </c>
      <c r="E30" s="42">
        <f>SUMIF(PHAN_TICH_VAT_TU_WBS!$F$6:$F$140, "*Nước sạch*", PHAN_TICH_VAT_TU_WBS!$I$6:$I$140)/1000</f>
        <v/>
      </c>
      <c r="F30" s="59" t="n">
        <v>0.02</v>
      </c>
      <c r="G30" s="60">
        <f>E30*(1+F30)</f>
        <v/>
      </c>
      <c r="H30" s="42">
        <f>G30*0.25</f>
        <v/>
      </c>
      <c r="I30" s="42">
        <f>G30*0.3</f>
        <v/>
      </c>
      <c r="J30" s="42">
        <f>G30*0.4</f>
        <v/>
      </c>
      <c r="K30" s="42">
        <f>G30*0.05</f>
        <v/>
      </c>
    </row>
    <row r="31" ht="22" customHeight="1">
      <c r="A31" s="57" t="n"/>
      <c r="B31" s="58" t="inlineStr">
        <is>
          <t>III. PHỤ GIA VÀ HÓA CHẤT XÂY DỰNG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</row>
    <row r="32" ht="20" customHeight="1">
      <c r="A32" s="31" t="inlineStr">
        <is>
          <t>24</t>
        </is>
      </c>
      <c r="B32" s="30" t="inlineStr">
        <is>
          <t>Phụ gia siêu dẻo Polycarboxylate thế hệ 3</t>
        </is>
      </c>
      <c r="C32" s="30" t="inlineStr">
        <is>
          <t>ASTM C494 Type F/G</t>
        </is>
      </c>
      <c r="D32" s="31" t="inlineStr">
        <is>
          <t>kg</t>
        </is>
      </c>
      <c r="E32" s="42">
        <f>SUMIF(PHAN_TICH_VAT_TU_WBS!$F$6:$F$140, "*Phụ gia siêu dẻo*", PHAN_TICH_VAT_TU_WBS!$I$6:$I$140)</f>
        <v/>
      </c>
      <c r="F32" s="59" t="n">
        <v>0.01</v>
      </c>
      <c r="G32" s="60">
        <f>E32*(1+F32)</f>
        <v/>
      </c>
      <c r="H32" s="42">
        <f>G32*0.0</f>
        <v/>
      </c>
      <c r="I32" s="42">
        <f>G32*0.3</f>
        <v/>
      </c>
      <c r="J32" s="42">
        <f>G32*0.7</f>
        <v/>
      </c>
      <c r="K32" s="42">
        <f>G32*0.0</f>
        <v/>
      </c>
    </row>
    <row r="33" ht="20" customHeight="1">
      <c r="A33" s="31" t="inlineStr">
        <is>
          <t>25</t>
        </is>
      </c>
      <c r="B33" s="30" t="inlineStr">
        <is>
          <t>Phụ gia hoá dẻo chậm đông kết</t>
        </is>
      </c>
      <c r="C33" s="30" t="inlineStr">
        <is>
          <t>ASTM C494 Type G</t>
        </is>
      </c>
      <c r="D33" s="31" t="inlineStr">
        <is>
          <t>kg</t>
        </is>
      </c>
      <c r="E33" s="42">
        <f>SUMIF(PHAN_TICH_VAT_TU_WBS!$F$6:$F$140, "*Phụ gia hoá dẻo*", PHAN_TICH_VAT_TU_WBS!$I$6:$I$140)</f>
        <v/>
      </c>
      <c r="F33" s="59" t="n">
        <v>0.01</v>
      </c>
      <c r="G33" s="60">
        <f>E33*(1+F33)</f>
        <v/>
      </c>
      <c r="H33" s="42">
        <f>G33*1.0</f>
        <v/>
      </c>
      <c r="I33" s="42">
        <f>G33*0.0</f>
        <v/>
      </c>
      <c r="J33" s="42">
        <f>G33*0.0</f>
        <v/>
      </c>
      <c r="K33" s="42">
        <f>G33*0.0</f>
        <v/>
      </c>
    </row>
    <row r="34" ht="20" customHeight="1">
      <c r="A34" s="31" t="inlineStr">
        <is>
          <t>26</t>
        </is>
      </c>
      <c r="B34" s="30" t="inlineStr">
        <is>
          <t>Vữa rót không co ngót bơm ghen SikaGrout 214-11</t>
        </is>
      </c>
      <c r="C34" s="30" t="inlineStr">
        <is>
          <t>ASTM C1107</t>
        </is>
      </c>
      <c r="D34" s="31" t="inlineStr">
        <is>
          <t>kg</t>
        </is>
      </c>
      <c r="E34" s="42">
        <f>SUMIF(PHAN_TICH_VAT_TU_WBS!$F$6:$F$140, "*Vữa không co ngót*", PHAN_TICH_VAT_TU_WBS!$I$6:$I$140)</f>
        <v/>
      </c>
      <c r="F34" s="59" t="n">
        <v>0.015</v>
      </c>
      <c r="G34" s="60">
        <f>E34*(1+F34)</f>
        <v/>
      </c>
      <c r="H34" s="42">
        <f>G34*0.0</f>
        <v/>
      </c>
      <c r="I34" s="42">
        <f>G34*0.0</f>
        <v/>
      </c>
      <c r="J34" s="42">
        <f>G34*1.0</f>
        <v/>
      </c>
      <c r="K34" s="42">
        <f>G34*0.0</f>
        <v/>
      </c>
    </row>
    <row r="35" ht="20" customHeight="1">
      <c r="A35" s="31" t="inlineStr">
        <is>
          <t>27</t>
        </is>
      </c>
      <c r="B35" s="30" t="inlineStr">
        <is>
          <t>Bột sét Bentonite tạo vách cọc khoan nhồi</t>
        </is>
      </c>
      <c r="C35" s="30" t="inlineStr">
        <is>
          <t>TCVN 9395:2012</t>
        </is>
      </c>
      <c r="D35" s="31" t="inlineStr">
        <is>
          <t>Tấn</t>
        </is>
      </c>
      <c r="E35" s="42">
        <f>SUMIF(PHAN_TICH_VAT_TU_WBS!$F$6:$F$140, "*Bentonite*", PHAN_TICH_VAT_TU_WBS!$I$6:$I$140)/1000</f>
        <v/>
      </c>
      <c r="F35" s="59" t="n">
        <v>0.02</v>
      </c>
      <c r="G35" s="60">
        <f>E35*(1+F35)</f>
        <v/>
      </c>
      <c r="H35" s="42">
        <f>G35*1.0</f>
        <v/>
      </c>
      <c r="I35" s="42">
        <f>G35*0.0</f>
        <v/>
      </c>
      <c r="J35" s="42">
        <f>G35*0.0</f>
        <v/>
      </c>
      <c r="K35" s="42">
        <f>G35*0.0</f>
        <v/>
      </c>
    </row>
    <row r="36" ht="22" customHeight="1">
      <c r="A36" s="57" t="n"/>
      <c r="B36" s="58" t="inlineStr">
        <is>
          <t>IV. PHỤ KIỆN &amp; VẬT LIỆU HOÀN THIỆN CẦU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</row>
    <row r="37" ht="20" customHeight="1">
      <c r="A37" s="31" t="inlineStr">
        <is>
          <t>28</t>
        </is>
      </c>
      <c r="B37" s="30" t="inlineStr">
        <is>
          <t>Gối chậu cao su cốt bản thép chịu lực</t>
        </is>
      </c>
      <c r="C37" s="30" t="inlineStr">
        <is>
          <t>TCVN 11823:2017</t>
        </is>
      </c>
      <c r="D37" s="31" t="inlineStr">
        <is>
          <t>Cái</t>
        </is>
      </c>
      <c r="E37" s="42">
        <f>SUMIF(PHAN_TICH_VAT_TU_WBS!$F$6:$F$140, "*Gối chậu*", PHAN_TICH_VAT_TU_WBS!$I$6:$I$140)</f>
        <v/>
      </c>
      <c r="F37" s="59" t="n">
        <v>0</v>
      </c>
      <c r="G37" s="60">
        <f>E37*(1+F37)</f>
        <v/>
      </c>
      <c r="H37" s="42">
        <f>G37*0.0</f>
        <v/>
      </c>
      <c r="I37" s="42">
        <f>G37*0.0</f>
        <v/>
      </c>
      <c r="J37" s="42">
        <f>G37*1.0</f>
        <v/>
      </c>
      <c r="K37" s="42">
        <f>G37*0.0</f>
        <v/>
      </c>
    </row>
    <row r="38" ht="20" customHeight="1">
      <c r="A38" s="31" t="inlineStr">
        <is>
          <t>29</t>
        </is>
      </c>
      <c r="B38" s="30" t="inlineStr">
        <is>
          <t>Màng / Sơn chống thấm mặt cầu Polymer cải tiến</t>
        </is>
      </c>
      <c r="C38" s="30" t="inlineStr">
        <is>
          <t>TCVN 11823:2017</t>
        </is>
      </c>
      <c r="D38" s="31" t="inlineStr">
        <is>
          <t>m2</t>
        </is>
      </c>
      <c r="E38" s="42">
        <f>SUMIF(PHAN_TICH_VAT_TU_WBS!$F$6:$F$140, "*Màng chống thấm*", PHAN_TICH_VAT_TU_WBS!$I$6:$I$140)</f>
        <v/>
      </c>
      <c r="F38" s="59" t="n">
        <v>0.02</v>
      </c>
      <c r="G38" s="60">
        <f>E38*(1+F38)</f>
        <v/>
      </c>
      <c r="H38" s="42">
        <f>G38*0.0</f>
        <v/>
      </c>
      <c r="I38" s="42">
        <f>G38*0.0</f>
        <v/>
      </c>
      <c r="J38" s="42">
        <f>G38*0.0</f>
        <v/>
      </c>
      <c r="K38" s="42">
        <f>G38*1.0</f>
        <v/>
      </c>
    </row>
    <row r="39" ht="20" customHeight="1">
      <c r="A39" s="31" t="inlineStr">
        <is>
          <t>30</t>
        </is>
      </c>
      <c r="B39" s="30" t="inlineStr">
        <is>
          <t>Bê tông nhựa chặt C12.5 rải nóng</t>
        </is>
      </c>
      <c r="C39" s="30" t="inlineStr">
        <is>
          <t>TCVN 8819:2011</t>
        </is>
      </c>
      <c r="D39" s="31" t="inlineStr">
        <is>
          <t>Tấn</t>
        </is>
      </c>
      <c r="E39" s="42">
        <f>SUMIF(PHAN_TICH_VAT_TU_WBS!$F$6:$F$140, "*Bê tông nhựa*", PHAN_TICH_VAT_TU_WBS!$I$6:$I$140)</f>
        <v/>
      </c>
      <c r="F39" s="59" t="n">
        <v>0.025</v>
      </c>
      <c r="G39" s="60">
        <f>E39*(1+F39)</f>
        <v/>
      </c>
      <c r="H39" s="42">
        <f>G39*0.0</f>
        <v/>
      </c>
      <c r="I39" s="42">
        <f>G39*0.0</f>
        <v/>
      </c>
      <c r="J39" s="42">
        <f>G39*0.0</f>
        <v/>
      </c>
      <c r="K39" s="42">
        <f>G39*1.0</f>
        <v/>
      </c>
    </row>
    <row r="40" ht="20" customHeight="1">
      <c r="A40" s="31" t="inlineStr">
        <is>
          <t>31</t>
        </is>
      </c>
      <c r="B40" s="30" t="inlineStr">
        <is>
          <t>Vải địa kỹ thuật không dệt lọc ngược</t>
        </is>
      </c>
      <c r="C40" s="30" t="inlineStr">
        <is>
          <t>TCVN 9865:2013</t>
        </is>
      </c>
      <c r="D40" s="31" t="inlineStr">
        <is>
          <t>m2</t>
        </is>
      </c>
      <c r="E40" s="42">
        <f>SUMIF(PHAN_TICH_VAT_TU_WBS!$F$6:$F$140, "*Vải địa*", PHAN_TICH_VAT_TU_WBS!$I$6:$I$140)</f>
        <v/>
      </c>
      <c r="F40" s="59" t="n">
        <v>0.03</v>
      </c>
      <c r="G40" s="60">
        <f>E40*(1+F40)</f>
        <v/>
      </c>
      <c r="H40" s="42">
        <f>G40*0.0</f>
        <v/>
      </c>
      <c r="I40" s="42">
        <f>G40*0.0</f>
        <v/>
      </c>
      <c r="J40" s="42">
        <f>G40*0.0</f>
        <v/>
      </c>
      <c r="K40" s="42">
        <f>G40*1.0</f>
        <v/>
      </c>
    </row>
    <row r="41" ht="20" customHeight="1">
      <c r="A41" s="31" t="inlineStr">
        <is>
          <t>32</t>
        </is>
      </c>
      <c r="B41" s="30" t="inlineStr">
        <is>
          <t>Phễu gang thu nước mặt cầu có lưới chắn</t>
        </is>
      </c>
      <c r="C41" s="30" t="inlineStr">
        <is>
          <t>TCVN 11823:2017</t>
        </is>
      </c>
      <c r="D41" s="31" t="inlineStr">
        <is>
          <t>Bộ</t>
        </is>
      </c>
      <c r="E41" s="42">
        <f>SUMIF(PHAN_TICH_VAT_TU_WBS!$F$6:$F$140, "*Phễu gang*", PHAN_TICH_VAT_TU_WBS!$I$6:$I$140)</f>
        <v/>
      </c>
      <c r="F41" s="59" t="n">
        <v>0</v>
      </c>
      <c r="G41" s="60">
        <f>E41*(1+F41)</f>
        <v/>
      </c>
      <c r="H41" s="42">
        <f>G41*0.0</f>
        <v/>
      </c>
      <c r="I41" s="42">
        <f>G41*0.0</f>
        <v/>
      </c>
      <c r="J41" s="42">
        <f>G41*0.0</f>
        <v/>
      </c>
      <c r="K41" s="42">
        <f>G41*1.0</f>
        <v/>
      </c>
    </row>
    <row r="42" ht="20" customHeight="1">
      <c r="A42" s="31" t="inlineStr">
        <is>
          <t>33</t>
        </is>
      </c>
      <c r="B42" s="30" t="inlineStr">
        <is>
          <t>Ống thoát nước nhựa uPVC Ø110 dày 3.2mm</t>
        </is>
      </c>
      <c r="C42" s="30" t="inlineStr">
        <is>
          <t>TCVN 8491:2011</t>
        </is>
      </c>
      <c r="D42" s="31" t="inlineStr">
        <is>
          <t>m</t>
        </is>
      </c>
      <c r="E42" s="42">
        <f>SUMIF(PHAN_TICH_VAT_TU_WBS!$F$6:$F$140, "*uPVC Ø110*", PHAN_TICH_VAT_TU_WBS!$I$6:$I$140)</f>
        <v/>
      </c>
      <c r="F42" s="59" t="n">
        <v>0.02</v>
      </c>
      <c r="G42" s="60">
        <f>E42*(1+F42)</f>
        <v/>
      </c>
      <c r="H42" s="42">
        <f>G42*0.0</f>
        <v/>
      </c>
      <c r="I42" s="42">
        <f>G42*0.0</f>
        <v/>
      </c>
      <c r="J42" s="42">
        <f>G42*0.0</f>
        <v/>
      </c>
      <c r="K42" s="42">
        <f>G42*1.0</f>
        <v/>
      </c>
    </row>
    <row r="43" ht="20" customHeight="1">
      <c r="A43" s="31" t="inlineStr">
        <is>
          <t>34</t>
        </is>
      </c>
      <c r="B43" s="30" t="inlineStr">
        <is>
          <t>Nhựa dính bám Tack coat</t>
        </is>
      </c>
      <c r="C43" s="30" t="inlineStr">
        <is>
          <t>TCVN 8819:2011</t>
        </is>
      </c>
      <c r="D43" s="31" t="inlineStr">
        <is>
          <t>kg</t>
        </is>
      </c>
      <c r="E43" s="42">
        <f>SUMIF(PHAN_TICH_VAT_TU_WBS!$F$6:$F$140, "*Nhựa dính bám*", PHAN_TICH_VAT_TU_WBS!$I$6:$I$140)</f>
        <v/>
      </c>
      <c r="F43" s="59" t="n">
        <v>0.02</v>
      </c>
      <c r="G43" s="60">
        <f>E43*(1+F43)</f>
        <v/>
      </c>
      <c r="H43" s="42">
        <f>G43*0.0</f>
        <v/>
      </c>
      <c r="I43" s="42">
        <f>G43*0.0</f>
        <v/>
      </c>
      <c r="J43" s="42">
        <f>G43*0.0</f>
        <v/>
      </c>
      <c r="K43" s="42">
        <f>G43*1.0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2026-09-25T15:34:54Z</dcterms:created>
  <dcterms:modified xmlns:dcterms="http://purl.org/dc/terms/" xmlns:xsi="http://www.w3.org/2001/XMLSchema-instance" xsi:type="dcterms:W3CDTF">2026-09-25T15:45:21Z</dcterms:modified>
</cp:coreProperties>
</file>