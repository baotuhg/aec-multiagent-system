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QS_PHAN_NGAM_MONG" sheetId="2" state="visible" r:id="rId2"/>
    <sheet xmlns:r="http://schemas.openxmlformats.org/officeDocument/2006/relationships" name="QS_KET_CAU_THAN" sheetId="3" state="visible" r:id="rId3"/>
    <sheet xmlns:r="http://schemas.openxmlformats.org/officeDocument/2006/relationships" name="QS_HOAN_THIEN" sheetId="4" state="visible" r:id="rId4"/>
    <sheet xmlns:r="http://schemas.openxmlformats.org/officeDocument/2006/relationships" name="QS_MEP_PHU_TRO" sheetId="5" state="visible" r:id="rId5"/>
    <sheet xmlns:r="http://schemas.openxmlformats.org/officeDocument/2006/relationships" name="TONG_HOP_DU_TOAN_GXD" sheetId="6" state="visible" r:id="rId6"/>
    <sheet xmlns:r="http://schemas.openxmlformats.org/officeDocument/2006/relationships" name="TIEN_DO_THI_CONG_WBS" sheetId="7" state="visible" r:id="rId7"/>
    <sheet xmlns:r="http://schemas.openxmlformats.org/officeDocument/2006/relationships" name="HOSO_KCS_NGHIEM_TH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\%"/>
    <numFmt numFmtId="165" formatCode="#,##0.0"/>
  </numFmts>
  <fonts count="9">
    <font>
      <name val="Calibri"/>
      <family val="2"/>
      <color theme="1"/>
      <sz val="11"/>
      <scheme val="minor"/>
    </font>
    <font>
      <name val="Times New Roman"/>
      <b val="1"/>
      <color rgb="001B365D"/>
      <sz val="13"/>
    </font>
    <font>
      <name val="Times New Roman"/>
      <i val="1"/>
      <color rgb="00333333"/>
      <sz val="10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b val="1"/>
      <color rgb="00002060"/>
      <sz val="11"/>
    </font>
    <font>
      <name val="Times New Roman"/>
      <i val="1"/>
      <color rgb="00555555"/>
      <sz val="9"/>
    </font>
    <font>
      <name val="Times New Roman"/>
      <b val="1"/>
      <color rgb="00C00000"/>
      <sz val="11"/>
    </font>
    <font>
      <name val="Times New Roman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4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right"/>
    </xf>
    <xf numFmtId="3" fontId="4" fillId="3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pivotButton="0" quotePrefix="0" xfId="0"/>
    <xf numFmtId="0" fontId="7" fillId="3" borderId="1" applyAlignment="1" pivotButton="0" quotePrefix="0" xfId="0">
      <alignment horizontal="center"/>
    </xf>
    <xf numFmtId="0" fontId="7" fillId="3" borderId="1" pivotButton="0" quotePrefix="0" xfId="0"/>
    <xf numFmtId="3" fontId="7" fillId="3" borderId="1" pivotButton="0" quotePrefix="0" xfId="0"/>
    <xf numFmtId="0" fontId="4" fillId="4" borderId="1" pivotButton="0" quotePrefix="0" xfId="0"/>
    <xf numFmtId="165" fontId="0" fillId="0" borderId="1" pivotButton="0" quotePrefix="0" xfId="0"/>
    <xf numFmtId="0" fontId="8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8" customWidth="1" min="3" max="3"/>
    <col width="12" customWidth="1" min="4" max="4"/>
    <col width="14" customWidth="1" min="5" max="5"/>
    <col width="17" customWidth="1" min="6" max="6"/>
    <col width="21" customWidth="1" min="7" max="7"/>
    <col width="23" customWidth="1" min="8" max="8"/>
    <col width="17" customWidth="1" min="9" max="9"/>
    <col width="13" customWidth="1" min="10" max="10"/>
    <col width="19" customWidth="1" min="11" max="11"/>
    <col width="17" customWidth="1" min="12" max="12"/>
  </cols>
  <sheetData>
    <row r="1"/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TỔ HỢP CẮT THÉP CÂY NGUYÊN 11.7m (1D CUTTING STOCK - TỶ LỆ ĐỀ-XÊ &lt; 1.5%)</t>
        </is>
      </c>
    </row>
    <row r="4"/>
    <row r="5" ht="30" customHeight="1">
      <c r="A5" s="3" t="inlineStr">
        <is>
          <t>TT</t>
        </is>
      </c>
      <c r="B5" s="3" t="inlineStr">
        <is>
          <t>Bộ phận kết cấu &amp; Số hiệu thanh</t>
        </is>
      </c>
      <c r="C5" s="3" t="inlineStr">
        <is>
          <t>Ký hiệu
đường kính (mm)</t>
        </is>
      </c>
      <c r="D5" s="3" t="inlineStr">
        <is>
          <t>Số lượng
thanh (N)</t>
        </is>
      </c>
      <c r="E5" s="3" t="inlineStr">
        <is>
          <t>Dài 1 thanh
L (m)</t>
        </is>
      </c>
      <c r="F5" s="3" t="inlineStr">
        <is>
          <t>Tổng chiều dài
(m) = N x L</t>
        </is>
      </c>
      <c r="G5" s="3" t="inlineStr">
        <is>
          <t>Dài cây tiêu chuẩn
(m)</t>
        </is>
      </c>
      <c r="H5" s="3" t="inlineStr">
        <is>
          <t>Số cây 11.7m
cần dùng</t>
        </is>
      </c>
      <c r="I5" s="3" t="inlineStr">
        <is>
          <t>Chiều dài phôi
(m)</t>
        </is>
      </c>
      <c r="J5" s="3" t="inlineStr">
        <is>
          <t>Đề-xê thừa
(m)</t>
        </is>
      </c>
      <c r="K5" s="3" t="inlineStr">
        <is>
          <t>Tổng trọng lượng
(kg)</t>
        </is>
      </c>
      <c r="L5" s="3" t="inlineStr">
        <is>
          <t>Tỷ lệ hao hụt
(%)</t>
        </is>
      </c>
    </row>
    <row r="6">
      <c r="A6" s="4" t="n">
        <v>1</v>
      </c>
      <c r="B6" s="5" t="inlineStr">
        <is>
          <t>Thép móng băng - Thép chủ chịu lực đáy</t>
        </is>
      </c>
      <c r="C6" s="4" t="n">
        <v>22</v>
      </c>
      <c r="D6" s="6" t="n">
        <v>180</v>
      </c>
      <c r="E6" s="7" t="n">
        <v>5.8</v>
      </c>
      <c r="F6" s="7">
        <f>D6*E6</f>
        <v/>
      </c>
      <c r="G6" s="7" t="n">
        <v>11.7</v>
      </c>
      <c r="H6" s="6">
        <f>ROUNDUP(F6/G6, 0)</f>
        <v/>
      </c>
      <c r="I6" s="7">
        <f>H6*G6</f>
        <v/>
      </c>
      <c r="J6" s="7">
        <f>I6-F6</f>
        <v/>
      </c>
      <c r="K6" s="7">
        <f>F6*2.984</f>
        <v/>
      </c>
      <c r="L6" s="8">
        <f>(J6/I6)*100</f>
        <v/>
      </c>
    </row>
    <row r="7">
      <c r="A7" s="4" t="n">
        <v>2</v>
      </c>
      <c r="B7" s="5" t="inlineStr">
        <is>
          <t>Thép móng băng - Thép giằng móng</t>
        </is>
      </c>
      <c r="C7" s="4" t="n">
        <v>18</v>
      </c>
      <c r="D7" s="6" t="n">
        <v>120</v>
      </c>
      <c r="E7" s="7" t="n">
        <v>11.2</v>
      </c>
      <c r="F7" s="7">
        <f>D7*E7</f>
        <v/>
      </c>
      <c r="G7" s="7" t="n">
        <v>11.7</v>
      </c>
      <c r="H7" s="6">
        <f>ROUNDUP(F7/G7, 0)</f>
        <v/>
      </c>
      <c r="I7" s="7">
        <f>H7*G7</f>
        <v/>
      </c>
      <c r="J7" s="7">
        <f>I7-F7</f>
        <v/>
      </c>
      <c r="K7" s="7">
        <f>F7*1.998</f>
        <v/>
      </c>
      <c r="L7" s="8">
        <f>(J7/I7)*100</f>
        <v/>
      </c>
    </row>
    <row r="8">
      <c r="A8" s="4" t="n">
        <v>3</v>
      </c>
      <c r="B8" s="5" t="inlineStr">
        <is>
          <t>Thép móng băng - Thép đai giằng móng</t>
        </is>
      </c>
      <c r="C8" s="4" t="n">
        <v>10</v>
      </c>
      <c r="D8" s="6" t="n">
        <v>360</v>
      </c>
      <c r="E8" s="7" t="n">
        <v>2.2</v>
      </c>
      <c r="F8" s="7">
        <f>D8*E8</f>
        <v/>
      </c>
      <c r="G8" s="7" t="n">
        <v>11.7</v>
      </c>
      <c r="H8" s="6">
        <f>ROUNDUP(F8/G8, 0)</f>
        <v/>
      </c>
      <c r="I8" s="7">
        <f>H8*G8</f>
        <v/>
      </c>
      <c r="J8" s="7">
        <f>I8-F8</f>
        <v/>
      </c>
      <c r="K8" s="7">
        <f>F8*0.617</f>
        <v/>
      </c>
      <c r="L8" s="8">
        <f>(J8/I8)*100</f>
        <v/>
      </c>
    </row>
    <row r="9">
      <c r="A9" s="9" t="inlineStr">
        <is>
          <t>TỔNG CỘNG THÉP PHẦN NGẦM &amp; MÓNG (LINK SANG SHEET QS MÓNG)</t>
        </is>
      </c>
      <c r="B9" s="10" t="n"/>
      <c r="C9" s="10" t="n"/>
      <c r="D9" s="10" t="n"/>
      <c r="E9" s="11" t="n"/>
      <c r="F9" s="5" t="n"/>
      <c r="G9" s="5" t="n"/>
      <c r="H9" s="5" t="n"/>
      <c r="I9" s="5" t="n"/>
      <c r="J9" s="5" t="n"/>
      <c r="K9" s="12">
        <f>SUM(K6:K8)</f>
        <v/>
      </c>
      <c r="L9" s="5" t="n"/>
    </row>
    <row r="10">
      <c r="A10" s="4" t="n">
        <v>4</v>
      </c>
      <c r="B10" s="5" t="inlineStr">
        <is>
          <t>Thép cột các tầng - Thép chủ chịu lực dọc (nối so le)</t>
        </is>
      </c>
      <c r="C10" s="4" t="n">
        <v>20</v>
      </c>
      <c r="D10" s="6" t="n">
        <v>192</v>
      </c>
      <c r="E10" s="7" t="n">
        <v>4.2</v>
      </c>
      <c r="F10" s="7">
        <f>D10*E10</f>
        <v/>
      </c>
      <c r="G10" s="7" t="n">
        <v>11.7</v>
      </c>
      <c r="H10" s="6">
        <f>ROUNDUP(F10/G10, 0)</f>
        <v/>
      </c>
      <c r="I10" s="7">
        <f>H10*G10</f>
        <v/>
      </c>
      <c r="J10" s="7">
        <f>I10-F10</f>
        <v/>
      </c>
      <c r="K10" s="7">
        <f>F10*2.466</f>
        <v/>
      </c>
      <c r="L10" s="8">
        <f>(J10/I10)*100</f>
        <v/>
      </c>
    </row>
    <row r="11">
      <c r="A11" s="4" t="n">
        <v>5</v>
      </c>
      <c r="B11" s="5" t="inlineStr">
        <is>
          <t>Thép cột các tầng - Thép đai chống nở</t>
        </is>
      </c>
      <c r="C11" s="4" t="n">
        <v>8</v>
      </c>
      <c r="D11" s="6" t="n">
        <v>540</v>
      </c>
      <c r="E11" s="7" t="n">
        <v>1.3</v>
      </c>
      <c r="F11" s="7">
        <f>D11*E11</f>
        <v/>
      </c>
      <c r="G11" s="7" t="n">
        <v>11.7</v>
      </c>
      <c r="H11" s="6">
        <f>ROUNDUP(F11/G11, 0)</f>
        <v/>
      </c>
      <c r="I11" s="7">
        <f>H11*G11</f>
        <v/>
      </c>
      <c r="J11" s="7">
        <f>I11-F11</f>
        <v/>
      </c>
      <c r="K11" s="7">
        <f>F11*0.395</f>
        <v/>
      </c>
      <c r="L11" s="8">
        <f>(J11/I11)*100</f>
        <v/>
      </c>
    </row>
    <row r="12">
      <c r="A12" s="4" t="n">
        <v>6</v>
      </c>
      <c r="B12" s="5" t="inlineStr">
        <is>
          <t>Thép dầm sàn các tầng - Thép chủ dầm chính</t>
        </is>
      </c>
      <c r="C12" s="4" t="n">
        <v>22</v>
      </c>
      <c r="D12" s="6" t="n">
        <v>160</v>
      </c>
      <c r="E12" s="7" t="n">
        <v>8.6</v>
      </c>
      <c r="F12" s="7">
        <f>D12*E12</f>
        <v/>
      </c>
      <c r="G12" s="7" t="n">
        <v>11.7</v>
      </c>
      <c r="H12" s="6">
        <f>ROUNDUP(F12/G12, 0)</f>
        <v/>
      </c>
      <c r="I12" s="7">
        <f>H12*G12</f>
        <v/>
      </c>
      <c r="J12" s="7">
        <f>I12-F12</f>
        <v/>
      </c>
      <c r="K12" s="7">
        <f>F12*2.984</f>
        <v/>
      </c>
      <c r="L12" s="8">
        <f>(J12/I12)*100</f>
        <v/>
      </c>
    </row>
    <row r="13">
      <c r="A13" s="4" t="n">
        <v>7</v>
      </c>
      <c r="B13" s="5" t="inlineStr">
        <is>
          <t>Thép dầm sàn các tầng - Thép gối dầm &amp; thép kẹp sườn</t>
        </is>
      </c>
      <c r="C13" s="4" t="n">
        <v>16</v>
      </c>
      <c r="D13" s="6" t="n">
        <v>210</v>
      </c>
      <c r="E13" s="7" t="n">
        <v>5.6</v>
      </c>
      <c r="F13" s="7">
        <f>D13*E13</f>
        <v/>
      </c>
      <c r="G13" s="7" t="n">
        <v>11.7</v>
      </c>
      <c r="H13" s="6">
        <f>ROUNDUP(F13/G13, 0)</f>
        <v/>
      </c>
      <c r="I13" s="7">
        <f>H13*G13</f>
        <v/>
      </c>
      <c r="J13" s="7">
        <f>I13-F13</f>
        <v/>
      </c>
      <c r="K13" s="7">
        <f>F13*1.578</f>
        <v/>
      </c>
      <c r="L13" s="8">
        <f>(J13/I13)*100</f>
        <v/>
      </c>
    </row>
    <row r="14">
      <c r="A14" s="4" t="n">
        <v>8</v>
      </c>
      <c r="B14" s="5" t="inlineStr">
        <is>
          <t>Thép dầm sàn các tầng - Thép đai dầm</t>
        </is>
      </c>
      <c r="C14" s="4" t="n">
        <v>8</v>
      </c>
      <c r="D14" s="6" t="n">
        <v>850</v>
      </c>
      <c r="E14" s="7" t="n">
        <v>1.7</v>
      </c>
      <c r="F14" s="7">
        <f>D14*E14</f>
        <v/>
      </c>
      <c r="G14" s="7" t="n">
        <v>11.7</v>
      </c>
      <c r="H14" s="6">
        <f>ROUNDUP(F14/G14, 0)</f>
        <v/>
      </c>
      <c r="I14" s="7">
        <f>H14*G14</f>
        <v/>
      </c>
      <c r="J14" s="7">
        <f>I14-F14</f>
        <v/>
      </c>
      <c r="K14" s="7">
        <f>F14*0.395</f>
        <v/>
      </c>
      <c r="L14" s="8">
        <f>(J14/I14)*100</f>
        <v/>
      </c>
    </row>
    <row r="15">
      <c r="A15" s="4" t="n">
        <v>9</v>
      </c>
      <c r="B15" s="5" t="inlineStr">
        <is>
          <t>Thép bản sàn các tầng - Thép lưới lớp dưới</t>
        </is>
      </c>
      <c r="C15" s="4" t="n">
        <v>10</v>
      </c>
      <c r="D15" s="6" t="n">
        <v>920</v>
      </c>
      <c r="E15" s="7" t="n">
        <v>5.7</v>
      </c>
      <c r="F15" s="7">
        <f>D15*E15</f>
        <v/>
      </c>
      <c r="G15" s="7" t="n">
        <v>11.7</v>
      </c>
      <c r="H15" s="6">
        <f>ROUNDUP(F15/G15, 0)</f>
        <v/>
      </c>
      <c r="I15" s="7">
        <f>H15*G15</f>
        <v/>
      </c>
      <c r="J15" s="7">
        <f>I15-F15</f>
        <v/>
      </c>
      <c r="K15" s="7">
        <f>F15*0.617</f>
        <v/>
      </c>
      <c r="L15" s="8">
        <f>(J15/I15)*100</f>
        <v/>
      </c>
    </row>
    <row r="16">
      <c r="A16" s="4" t="n">
        <v>10</v>
      </c>
      <c r="B16" s="5" t="inlineStr">
        <is>
          <t>Thép bản sàn các tầng - Thép mũ lớp trên (chống mômen âm)</t>
        </is>
      </c>
      <c r="C16" s="4" t="n">
        <v>10</v>
      </c>
      <c r="D16" s="6" t="n">
        <v>780</v>
      </c>
      <c r="E16" s="7" t="n">
        <v>3.8</v>
      </c>
      <c r="F16" s="7">
        <f>D16*E16</f>
        <v/>
      </c>
      <c r="G16" s="7" t="n">
        <v>11.7</v>
      </c>
      <c r="H16" s="6">
        <f>ROUNDUP(F16/G16, 0)</f>
        <v/>
      </c>
      <c r="I16" s="7">
        <f>H16*G16</f>
        <v/>
      </c>
      <c r="J16" s="7">
        <f>I16-F16</f>
        <v/>
      </c>
      <c r="K16" s="7">
        <f>F16*0.617</f>
        <v/>
      </c>
      <c r="L16" s="8">
        <f>(J16/I16)*100</f>
        <v/>
      </c>
    </row>
    <row r="17">
      <c r="A17" s="4" t="n">
        <v>11</v>
      </c>
      <c r="B17" s="5" t="inlineStr">
        <is>
          <t>Thép cầu thang bộ - Thép chịu lực bản thang &amp; dầm c.nghỉ</t>
        </is>
      </c>
      <c r="C17" s="4" t="n">
        <v>14</v>
      </c>
      <c r="D17" s="6" t="n">
        <v>120</v>
      </c>
      <c r="E17" s="7" t="n">
        <v>4.5</v>
      </c>
      <c r="F17" s="7">
        <f>D17*E17</f>
        <v/>
      </c>
      <c r="G17" s="7" t="n">
        <v>11.7</v>
      </c>
      <c r="H17" s="6">
        <f>ROUNDUP(F17/G17, 0)</f>
        <v/>
      </c>
      <c r="I17" s="7">
        <f>H17*G17</f>
        <v/>
      </c>
      <c r="J17" s="7">
        <f>I17-F17</f>
        <v/>
      </c>
      <c r="K17" s="7">
        <f>F17*1.208</f>
        <v/>
      </c>
      <c r="L17" s="8">
        <f>(J17/I17)*100</f>
        <v/>
      </c>
    </row>
    <row r="18">
      <c r="A18" s="9" t="inlineStr">
        <is>
          <t>TỔNG CỘNG THÉP KẾT CẤU THÂN (LINK SANG SHEET QS THÂN)</t>
        </is>
      </c>
      <c r="B18" s="10" t="n"/>
      <c r="C18" s="10" t="n"/>
      <c r="D18" s="10" t="n"/>
      <c r="E18" s="11" t="n"/>
      <c r="F18" s="5" t="n"/>
      <c r="G18" s="5" t="n"/>
      <c r="H18" s="5" t="n"/>
      <c r="I18" s="5" t="n"/>
      <c r="J18" s="5" t="n"/>
      <c r="K18" s="12">
        <f>SUM(K10:K17)</f>
        <v/>
      </c>
      <c r="L18" s="5" t="n"/>
    </row>
    <row r="19">
      <c r="A19" s="9" t="inlineStr">
        <is>
          <t>TỔNG CỘNG TOÀN BỘ CỐT THÉP CÔNG TRÌNH DÂN DỤNG</t>
        </is>
      </c>
      <c r="B19" s="10" t="n"/>
      <c r="C19" s="10" t="n"/>
      <c r="D19" s="10" t="n"/>
      <c r="E19" s="11" t="n"/>
      <c r="F19" s="5" t="n"/>
      <c r="G19" s="5" t="n"/>
      <c r="H19" s="5" t="n"/>
      <c r="I19" s="5" t="n"/>
      <c r="J19" s="5" t="n"/>
      <c r="K19" s="12">
        <f>K9+K18</f>
        <v/>
      </c>
      <c r="L19" s="5" t="n"/>
    </row>
  </sheetData>
  <mergeCells count="3">
    <mergeCell ref="A9:E9"/>
    <mergeCell ref="A18:E18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89" customWidth="1" min="2" max="2"/>
    <col width="50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32" customWidth="1" min="10" max="10"/>
    <col width="11" customWidth="1" min="11" max="11"/>
    <col width="30" customWidth="1" min="12" max="12"/>
  </cols>
  <sheetData>
    <row r="1"/>
    <row r="2">
      <c r="B2" s="1" t="inlineStr">
        <is>
          <t>HẠNG MỤC I: PHẦN NGẦM &amp; MÓNG BĂNG CÔNG TRÌNH DÂN DỤNG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4"/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CÔNG TÁC ĐÀO ĐẤT, VẬN CHUYỂN VÀ ĐỆM LÓT MÓNG BĂNG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AB.11211</t>
        </is>
      </c>
      <c r="C7" s="14" t="inlineStr">
        <is>
          <t>Đào móng băng bằng máy kết hợp sửa thủ công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58000</v>
      </c>
      <c r="L7" s="16">
        <f>J7*K7</f>
        <v/>
      </c>
    </row>
    <row r="8">
      <c r="A8" s="4" t="inlineStr"/>
      <c r="B8" s="4" t="inlineStr"/>
      <c r="C8" s="17" t="inlineStr">
        <is>
          <t>- Đào móng băng trục dọc A, B (2 dải móng)</t>
        </is>
      </c>
      <c r="D8" s="4" t="inlineStr">
        <is>
          <t>m3</t>
        </is>
      </c>
      <c r="E8" s="6" t="n">
        <v>2</v>
      </c>
      <c r="F8" s="7" t="n">
        <v>28</v>
      </c>
      <c r="G8" s="7" t="n">
        <v>1.8</v>
      </c>
      <c r="H8" s="7" t="n">
        <v>1.6</v>
      </c>
      <c r="I8" s="7" t="n">
        <v>1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Đào móng băng trục ngang 1 đến 5 (5 dải móng)</t>
        </is>
      </c>
      <c r="D9" s="4" t="inlineStr">
        <is>
          <t>m3</t>
        </is>
      </c>
      <c r="E9" s="6" t="n">
        <v>5</v>
      </c>
      <c r="F9" s="7" t="n">
        <v>12</v>
      </c>
      <c r="G9" s="7" t="n">
        <v>1.6</v>
      </c>
      <c r="H9" s="7" t="n">
        <v>1.6</v>
      </c>
      <c r="I9" s="7" t="n">
        <v>1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Đào hố móng bể phốt &amp; hố ga kỹ thuật</t>
        </is>
      </c>
      <c r="D10" s="4" t="inlineStr">
        <is>
          <t>m3</t>
        </is>
      </c>
      <c r="E10" s="6" t="n">
        <v>1</v>
      </c>
      <c r="F10" s="7" t="n">
        <v>6.5</v>
      </c>
      <c r="G10" s="7" t="n">
        <v>4</v>
      </c>
      <c r="H10" s="7" t="n">
        <v>2.2</v>
      </c>
      <c r="I10" s="7" t="n">
        <v>1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AK.11111</t>
        </is>
      </c>
      <c r="C11" s="14" t="inlineStr">
        <is>
          <t>Đệm đá dăm 4x6 lót móng dày 10cm</t>
        </is>
      </c>
      <c r="D11" s="4" t="inlineStr">
        <is>
          <t>m3</t>
        </is>
      </c>
      <c r="E11" s="5" t="n"/>
      <c r="F11" s="5" t="n"/>
      <c r="G11" s="5" t="n"/>
      <c r="H11" s="5" t="n"/>
      <c r="I11" s="5" t="n"/>
      <c r="J11" s="15">
        <f>SUM(J12:J13)</f>
        <v/>
      </c>
      <c r="K11" s="6" t="n">
        <v>395000</v>
      </c>
      <c r="L11" s="16">
        <f>J11*K11</f>
        <v/>
      </c>
    </row>
    <row r="12">
      <c r="A12" s="4" t="inlineStr"/>
      <c r="B12" s="4" t="inlineStr"/>
      <c r="C12" s="17" t="inlineStr">
        <is>
          <t>- Lót móng trục dọc A, B</t>
        </is>
      </c>
      <c r="D12" s="4" t="inlineStr">
        <is>
          <t>m3</t>
        </is>
      </c>
      <c r="E12" s="6" t="n">
        <v>2</v>
      </c>
      <c r="F12" s="7" t="n">
        <v>28</v>
      </c>
      <c r="G12" s="7" t="n">
        <v>1.8</v>
      </c>
      <c r="H12" s="7" t="n">
        <v>0.1</v>
      </c>
      <c r="I12" s="7" t="n">
        <v>1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Lót móng trục ngang 1 đến 5</t>
        </is>
      </c>
      <c r="D13" s="4" t="inlineStr">
        <is>
          <t>m3</t>
        </is>
      </c>
      <c r="E13" s="6" t="n">
        <v>5</v>
      </c>
      <c r="F13" s="7" t="n">
        <v>12</v>
      </c>
      <c r="G13" s="7" t="n">
        <v>1.6</v>
      </c>
      <c r="H13" s="7" t="n">
        <v>0.1</v>
      </c>
      <c r="I13" s="7" t="n">
        <v>1</v>
      </c>
      <c r="J13" s="7">
        <f>E13*F13*G13*H13*I13</f>
        <v/>
      </c>
      <c r="K13" s="5" t="n"/>
      <c r="L13" s="5" t="n"/>
    </row>
    <row r="14">
      <c r="A14" s="4" t="n">
        <v>3</v>
      </c>
      <c r="B14" s="4" t="inlineStr">
        <is>
          <t>AF.11111</t>
        </is>
      </c>
      <c r="C14" s="14" t="inlineStr">
        <is>
          <t>Bê tông lót móng mác 100 đá 1x2 dày 10cm</t>
        </is>
      </c>
      <c r="D14" s="4" t="inlineStr">
        <is>
          <t>m3</t>
        </is>
      </c>
      <c r="E14" s="5" t="n"/>
      <c r="F14" s="5" t="n"/>
      <c r="G14" s="5" t="n"/>
      <c r="H14" s="5" t="n"/>
      <c r="I14" s="5" t="n"/>
      <c r="J14" s="15">
        <f>SUM(J15:J16)</f>
        <v/>
      </c>
      <c r="K14" s="6" t="n">
        <v>1180000</v>
      </c>
      <c r="L14" s="16">
        <f>J14*K14</f>
        <v/>
      </c>
    </row>
    <row r="15">
      <c r="A15" s="4" t="inlineStr"/>
      <c r="B15" s="4" t="inlineStr"/>
      <c r="C15" s="17" t="inlineStr">
        <is>
          <t>- Bê tông lót móng băng trục dọc A, B</t>
        </is>
      </c>
      <c r="D15" s="4" t="inlineStr">
        <is>
          <t>m3</t>
        </is>
      </c>
      <c r="E15" s="6" t="n">
        <v>2</v>
      </c>
      <c r="F15" s="7" t="n">
        <v>28</v>
      </c>
      <c r="G15" s="7" t="n">
        <v>1.8</v>
      </c>
      <c r="H15" s="7" t="n">
        <v>0.1</v>
      </c>
      <c r="I15" s="7" t="n">
        <v>1</v>
      </c>
      <c r="J15" s="7">
        <f>E15*F15*G15*H15*I15</f>
        <v/>
      </c>
      <c r="K15" s="5" t="n"/>
      <c r="L15" s="5" t="n"/>
    </row>
    <row r="16">
      <c r="A16" s="4" t="inlineStr"/>
      <c r="B16" s="4" t="inlineStr"/>
      <c r="C16" s="17" t="inlineStr">
        <is>
          <t>- Bê tông lót móng băng trục ngang 1 đến 5</t>
        </is>
      </c>
      <c r="D16" s="4" t="inlineStr">
        <is>
          <t>m3</t>
        </is>
      </c>
      <c r="E16" s="6" t="n">
        <v>5</v>
      </c>
      <c r="F16" s="7" t="n">
        <v>12</v>
      </c>
      <c r="G16" s="7" t="n">
        <v>1.6</v>
      </c>
      <c r="H16" s="7" t="n">
        <v>0.1</v>
      </c>
      <c r="I16" s="7" t="n">
        <v>1</v>
      </c>
      <c r="J16" s="7">
        <f>E16*F16*G16*H16*I16</f>
        <v/>
      </c>
      <c r="K16" s="5" t="n"/>
      <c r="L16" s="5" t="n"/>
    </row>
    <row r="17" ht="24" customHeight="1">
      <c r="A17" s="13" t="inlineStr">
        <is>
          <t>2. BÊ TÔNG, VÁN KHUÔN VÀ CỐT THÉP MÓNG BĂNG VÀ GIẰNG MÓNG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 t="n"/>
    </row>
    <row r="18">
      <c r="A18" s="4" t="n">
        <v>4</v>
      </c>
      <c r="B18" s="4" t="inlineStr">
        <is>
          <t>AF.12311</t>
        </is>
      </c>
      <c r="C18" s="14" t="inlineStr">
        <is>
          <t>Bê tông móng băng và giằng móng mác 250 (B20 / 25MPa)</t>
        </is>
      </c>
      <c r="D18" s="4" t="inlineStr">
        <is>
          <t>m3</t>
        </is>
      </c>
      <c r="E18" s="5" t="n"/>
      <c r="F18" s="5" t="n"/>
      <c r="G18" s="5" t="n"/>
      <c r="H18" s="5" t="n"/>
      <c r="I18" s="5" t="n"/>
      <c r="J18" s="15">
        <f>SUM(J19:J22)</f>
        <v/>
      </c>
      <c r="K18" s="6" t="n">
        <v>1420000</v>
      </c>
      <c r="L18" s="16">
        <f>J18*K18</f>
        <v/>
      </c>
    </row>
    <row r="19">
      <c r="A19" s="4" t="inlineStr"/>
      <c r="B19" s="4" t="inlineStr"/>
      <c r="C19" s="17" t="inlineStr">
        <is>
          <t>- Bản móng băng trục dọc A, B</t>
        </is>
      </c>
      <c r="D19" s="4" t="inlineStr">
        <is>
          <t>m3</t>
        </is>
      </c>
      <c r="E19" s="6" t="n">
        <v>2</v>
      </c>
      <c r="F19" s="7" t="n">
        <v>28</v>
      </c>
      <c r="G19" s="7" t="n">
        <v>1.6</v>
      </c>
      <c r="H19" s="7" t="n">
        <v>0.4</v>
      </c>
      <c r="I19" s="7" t="n">
        <v>1</v>
      </c>
      <c r="J19" s="7">
        <f>E19*F19*G19*H19*I19</f>
        <v/>
      </c>
      <c r="K19" s="5" t="n"/>
      <c r="L19" s="5" t="n"/>
    </row>
    <row r="20">
      <c r="A20" s="4" t="inlineStr"/>
      <c r="B20" s="4" t="inlineStr"/>
      <c r="C20" s="17" t="inlineStr">
        <is>
          <t>- Sườn dầm giằng móng trục dọc A, B</t>
        </is>
      </c>
      <c r="D20" s="4" t="inlineStr">
        <is>
          <t>m3</t>
        </is>
      </c>
      <c r="E20" s="6" t="n">
        <v>2</v>
      </c>
      <c r="F20" s="7" t="n">
        <v>28</v>
      </c>
      <c r="G20" s="7" t="n">
        <v>0.4</v>
      </c>
      <c r="H20" s="7" t="n">
        <v>0.8</v>
      </c>
      <c r="I20" s="7" t="n">
        <v>1</v>
      </c>
      <c r="J20" s="7">
        <f>E20*F20*G20*H20*I20</f>
        <v/>
      </c>
      <c r="K20" s="5" t="n"/>
      <c r="L20" s="5" t="n"/>
    </row>
    <row r="21">
      <c r="A21" s="4" t="inlineStr"/>
      <c r="B21" s="4" t="inlineStr"/>
      <c r="C21" s="17" t="inlineStr">
        <is>
          <t>- Bản móng băng trục ngang 1 đến 5</t>
        </is>
      </c>
      <c r="D21" s="4" t="inlineStr">
        <is>
          <t>m3</t>
        </is>
      </c>
      <c r="E21" s="6" t="n">
        <v>5</v>
      </c>
      <c r="F21" s="7" t="n">
        <v>12</v>
      </c>
      <c r="G21" s="7" t="n">
        <v>1.4</v>
      </c>
      <c r="H21" s="7" t="n">
        <v>0.4</v>
      </c>
      <c r="I21" s="7" t="n">
        <v>1</v>
      </c>
      <c r="J21" s="7">
        <f>E21*F21*G21*H21*I21</f>
        <v/>
      </c>
      <c r="K21" s="5" t="n"/>
      <c r="L21" s="5" t="n"/>
    </row>
    <row r="22">
      <c r="A22" s="4" t="inlineStr"/>
      <c r="B22" s="4" t="inlineStr"/>
      <c r="C22" s="17" t="inlineStr">
        <is>
          <t>- Sườn dầm giằng móng trục ngang 1 đến 5</t>
        </is>
      </c>
      <c r="D22" s="4" t="inlineStr">
        <is>
          <t>m3</t>
        </is>
      </c>
      <c r="E22" s="6" t="n">
        <v>5</v>
      </c>
      <c r="F22" s="7" t="n">
        <v>12</v>
      </c>
      <c r="G22" s="7" t="n">
        <v>0.35</v>
      </c>
      <c r="H22" s="7" t="n">
        <v>0.8</v>
      </c>
      <c r="I22" s="7" t="n">
        <v>1</v>
      </c>
      <c r="J22" s="7">
        <f>E22*F22*G22*H22*I22</f>
        <v/>
      </c>
      <c r="K22" s="5" t="n"/>
      <c r="L22" s="5" t="n"/>
    </row>
    <row r="23">
      <c r="A23" s="4" t="n">
        <v>5</v>
      </c>
      <c r="B23" s="4" t="inlineStr">
        <is>
          <t>AF.81111</t>
        </is>
      </c>
      <c r="C23" s="14" t="inlineStr">
        <is>
          <t>Ván khuôn móng băng và giằng móng (Ván khuôn phủ phim)</t>
        </is>
      </c>
      <c r="D23" s="4" t="inlineStr">
        <is>
          <t>m2</t>
        </is>
      </c>
      <c r="E23" s="5" t="n"/>
      <c r="F23" s="5" t="n"/>
      <c r="G23" s="5" t="n"/>
      <c r="H23" s="5" t="n"/>
      <c r="I23" s="5" t="n"/>
      <c r="J23" s="15">
        <f>SUM(J24:J25)</f>
        <v/>
      </c>
      <c r="K23" s="6" t="n">
        <v>185000</v>
      </c>
      <c r="L23" s="16">
        <f>J23*K23</f>
        <v/>
      </c>
    </row>
    <row r="24">
      <c r="A24" s="4" t="inlineStr"/>
      <c r="B24" s="4" t="inlineStr"/>
      <c r="C24" s="17" t="inlineStr">
        <is>
          <t>- Ván khuôn thành móng trục dọc A, B (2 bên)</t>
        </is>
      </c>
      <c r="D24" s="4" t="inlineStr">
        <is>
          <t>m2</t>
        </is>
      </c>
      <c r="E24" s="6" t="n">
        <v>4</v>
      </c>
      <c r="F24" s="7" t="n">
        <v>28</v>
      </c>
      <c r="G24" s="7" t="n">
        <v>1.2</v>
      </c>
      <c r="H24" s="7" t="n">
        <v>1</v>
      </c>
      <c r="I24" s="7" t="n">
        <v>1</v>
      </c>
      <c r="J24" s="7">
        <f>E24*F24*G24*H24*I24</f>
        <v/>
      </c>
      <c r="K24" s="5" t="n"/>
      <c r="L24" s="5" t="n"/>
    </row>
    <row r="25">
      <c r="A25" s="4" t="inlineStr"/>
      <c r="B25" s="4" t="inlineStr"/>
      <c r="C25" s="17" t="inlineStr">
        <is>
          <t>- Ván khuôn thành móng trục ngang 1 đến 5 (2 bên)</t>
        </is>
      </c>
      <c r="D25" s="4" t="inlineStr">
        <is>
          <t>m2</t>
        </is>
      </c>
      <c r="E25" s="6" t="n">
        <v>10</v>
      </c>
      <c r="F25" s="7" t="n">
        <v>12</v>
      </c>
      <c r="G25" s="7" t="n">
        <v>1.2</v>
      </c>
      <c r="H25" s="7" t="n">
        <v>1</v>
      </c>
      <c r="I25" s="7" t="n">
        <v>1</v>
      </c>
      <c r="J25" s="7">
        <f>E25*F25*G25*H25*I25</f>
        <v/>
      </c>
      <c r="K25" s="5" t="n"/>
      <c r="L25" s="5" t="n"/>
    </row>
    <row r="26">
      <c r="A26" s="4" t="n">
        <v>6</v>
      </c>
      <c r="B26" s="4" t="inlineStr">
        <is>
          <t>AF.61210</t>
        </is>
      </c>
      <c r="C26" s="14" t="inlineStr">
        <is>
          <t>Cốt thép móng băng và giằng móng (Lấy từ Sheet Tổ hợp thép 11.7m)</t>
        </is>
      </c>
      <c r="D26" s="4" t="inlineStr">
        <is>
          <t>tấn</t>
        </is>
      </c>
      <c r="E26" s="5" t="n"/>
      <c r="F26" s="5" t="n"/>
      <c r="G26" s="5" t="n"/>
      <c r="H26" s="5" t="n"/>
      <c r="I26" s="5" t="n"/>
      <c r="J26" s="7">
        <f>TO_HOP_CAT_THEP_11M7!K9/1000</f>
        <v/>
      </c>
      <c r="K26" s="6" t="n">
        <v>22500000</v>
      </c>
      <c r="L26" s="16">
        <f>J26*K26</f>
        <v/>
      </c>
    </row>
    <row r="27">
      <c r="A27" s="4" t="n">
        <v>7</v>
      </c>
      <c r="B27" s="4" t="inlineStr">
        <is>
          <t>AB.21111</t>
        </is>
      </c>
      <c r="C27" s="14" t="inlineStr">
        <is>
          <t>Đắp cát nền công trình tôn nền K95 và chống mối mọt</t>
        </is>
      </c>
      <c r="D27" s="4" t="inlineStr">
        <is>
          <t>m3</t>
        </is>
      </c>
      <c r="E27" s="6" t="n">
        <v>1</v>
      </c>
      <c r="F27" s="7" t="n">
        <v>28</v>
      </c>
      <c r="G27" s="7" t="n">
        <v>12</v>
      </c>
      <c r="H27" s="7" t="n">
        <v>0.65</v>
      </c>
      <c r="I27" s="7" t="n">
        <v>1</v>
      </c>
      <c r="J27" s="7">
        <f>E27*F27*G27*H27*I27</f>
        <v/>
      </c>
      <c r="K27" s="6" t="n">
        <v>165000</v>
      </c>
      <c r="L27" s="16">
        <f>J27*K27</f>
        <v/>
      </c>
    </row>
    <row r="28">
      <c r="A28" s="18" t="inlineStr">
        <is>
          <t>TỔNG CỘNG CHI PHÍ TRỰC TIẾP HẠNG MỤC (T_i)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  <c r="L28" s="19">
        <f>L7+L11+L14+L18+L23+L26+L27</f>
        <v/>
      </c>
    </row>
  </sheetData>
  <mergeCells count="3">
    <mergeCell ref="A6:L6"/>
    <mergeCell ref="A28:K28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89" customWidth="1" min="2" max="2"/>
    <col width="52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33" customWidth="1" min="10" max="10"/>
    <col width="11" customWidth="1" min="11" max="11"/>
    <col width="22" customWidth="1" min="12" max="12"/>
  </cols>
  <sheetData>
    <row r="1"/>
    <row r="2">
      <c r="B2" s="1" t="inlineStr">
        <is>
          <t>HẠNG MỤC II: KẾT CẤU THÂN CÔNG TRÌNH DÂN DỤNG (CỘT, DẦM, SÀN, THANG)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4"/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KẾT CẤU CỘT KHUNG BÊ TÔNG CỐT THÉP (TẦNG 1, TẦNG 2, TẦNG 3)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AF.13111</t>
        </is>
      </c>
      <c r="C7" s="14" t="inlineStr">
        <is>
          <t>Bê tông cột mác 300 (B22.5 / 30MPa)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1550000</v>
      </c>
      <c r="L7" s="16">
        <f>J7*K7</f>
        <v/>
      </c>
    </row>
    <row r="8">
      <c r="A8" s="4" t="inlineStr"/>
      <c r="B8" s="4" t="inlineStr"/>
      <c r="C8" s="17" t="inlineStr">
        <is>
          <t>- Cột tầng 1 (16 cột kích thước 300x400, H=3.9m)</t>
        </is>
      </c>
      <c r="D8" s="4" t="inlineStr">
        <is>
          <t>m3</t>
        </is>
      </c>
      <c r="E8" s="6" t="n">
        <v>16</v>
      </c>
      <c r="F8" s="7" t="n">
        <v>0.3</v>
      </c>
      <c r="G8" s="7" t="n">
        <v>0.4</v>
      </c>
      <c r="H8" s="7" t="n">
        <v>3.9</v>
      </c>
      <c r="I8" s="7" t="n">
        <v>1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Cột tầng 2 (16 cột kích thước 300x300, H=3.6m)</t>
        </is>
      </c>
      <c r="D9" s="4" t="inlineStr">
        <is>
          <t>m3</t>
        </is>
      </c>
      <c r="E9" s="6" t="n">
        <v>16</v>
      </c>
      <c r="F9" s="7" t="n">
        <v>0.3</v>
      </c>
      <c r="G9" s="7" t="n">
        <v>0.3</v>
      </c>
      <c r="H9" s="7" t="n">
        <v>3.6</v>
      </c>
      <c r="I9" s="7" t="n">
        <v>1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Cột tầng 3 (16 cột kích thước 300x300, H=3.6m)</t>
        </is>
      </c>
      <c r="D10" s="4" t="inlineStr">
        <is>
          <t>m3</t>
        </is>
      </c>
      <c r="E10" s="6" t="n">
        <v>16</v>
      </c>
      <c r="F10" s="7" t="n">
        <v>0.3</v>
      </c>
      <c r="G10" s="7" t="n">
        <v>0.3</v>
      </c>
      <c r="H10" s="7" t="n">
        <v>3.6</v>
      </c>
      <c r="I10" s="7" t="n">
        <v>1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AF.82111</t>
        </is>
      </c>
      <c r="C11" s="14" t="inlineStr">
        <is>
          <t>Ván khuôn cột gỗ phủ phim các tầng</t>
        </is>
      </c>
      <c r="D11" s="4" t="inlineStr">
        <is>
          <t>m2</t>
        </is>
      </c>
      <c r="E11" s="5" t="n"/>
      <c r="F11" s="5" t="n"/>
      <c r="G11" s="5" t="n"/>
      <c r="H11" s="5" t="n"/>
      <c r="I11" s="5" t="n"/>
      <c r="J11" s="15">
        <f>SUM(J12:J14)</f>
        <v/>
      </c>
      <c r="K11" s="6" t="n">
        <v>210000</v>
      </c>
      <c r="L11" s="16">
        <f>J11*K11</f>
        <v/>
      </c>
    </row>
    <row r="12">
      <c r="A12" s="4" t="inlineStr"/>
      <c r="B12" s="4" t="inlineStr"/>
      <c r="C12" s="17" t="inlineStr">
        <is>
          <t>- Ván khuôn chu vi cột tầng 1 (2*(0.3+0.4)=1.4m)</t>
        </is>
      </c>
      <c r="D12" s="4" t="inlineStr">
        <is>
          <t>m2</t>
        </is>
      </c>
      <c r="E12" s="6" t="n">
        <v>16</v>
      </c>
      <c r="F12" s="7" t="n">
        <v>1.4</v>
      </c>
      <c r="G12" s="7" t="n">
        <v>3.9</v>
      </c>
      <c r="H12" s="7" t="n">
        <v>1</v>
      </c>
      <c r="I12" s="7" t="n">
        <v>1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Ván khuôn chu vi cột tầng 2 (4*0.3=1.2m)</t>
        </is>
      </c>
      <c r="D13" s="4" t="inlineStr">
        <is>
          <t>m2</t>
        </is>
      </c>
      <c r="E13" s="6" t="n">
        <v>16</v>
      </c>
      <c r="F13" s="7" t="n">
        <v>1.2</v>
      </c>
      <c r="G13" s="7" t="n">
        <v>3.6</v>
      </c>
      <c r="H13" s="7" t="n">
        <v>1</v>
      </c>
      <c r="I13" s="7" t="n">
        <v>1</v>
      </c>
      <c r="J13" s="7">
        <f>E13*F13*G13*H13*I13</f>
        <v/>
      </c>
      <c r="K13" s="5" t="n"/>
      <c r="L13" s="5" t="n"/>
    </row>
    <row r="14">
      <c r="A14" s="4" t="inlineStr"/>
      <c r="B14" s="4" t="inlineStr"/>
      <c r="C14" s="17" t="inlineStr">
        <is>
          <t>- Ván khuôn chu vi cột tầng 3 (4*0.3=1.2m)</t>
        </is>
      </c>
      <c r="D14" s="4" t="inlineStr">
        <is>
          <t>m2</t>
        </is>
      </c>
      <c r="E14" s="6" t="n">
        <v>16</v>
      </c>
      <c r="F14" s="7" t="n">
        <v>1.2</v>
      </c>
      <c r="G14" s="7" t="n">
        <v>3.6</v>
      </c>
      <c r="H14" s="7" t="n">
        <v>1</v>
      </c>
      <c r="I14" s="7" t="n">
        <v>1</v>
      </c>
      <c r="J14" s="7">
        <f>E14*F14*G14*H14*I14</f>
        <v/>
      </c>
      <c r="K14" s="5" t="n"/>
      <c r="L14" s="5" t="n"/>
    </row>
    <row r="15" ht="24" customHeight="1">
      <c r="A15" s="13" t="inlineStr">
        <is>
          <t>2. KẾT CẤU DẦM, BẢN SÀN VÀ CẦU THANG BỘ CÁC TẦNG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 t="n"/>
    </row>
    <row r="16">
      <c r="A16" s="4" t="n">
        <v>3</v>
      </c>
      <c r="B16" s="4" t="inlineStr">
        <is>
          <t>AF.14111</t>
        </is>
      </c>
      <c r="C16" s="14" t="inlineStr">
        <is>
          <t>Bê tông dầm sàn các tầng mác 250 (B20 / 25MPa)</t>
        </is>
      </c>
      <c r="D16" s="4" t="inlineStr">
        <is>
          <t>m3</t>
        </is>
      </c>
      <c r="E16" s="5" t="n"/>
      <c r="F16" s="5" t="n"/>
      <c r="G16" s="5" t="n"/>
      <c r="H16" s="5" t="n"/>
      <c r="I16" s="5" t="n"/>
      <c r="J16" s="15">
        <f>SUM(J17:J23)</f>
        <v/>
      </c>
      <c r="K16" s="6" t="n">
        <v>1460000</v>
      </c>
      <c r="L16" s="16">
        <f>J16*K16</f>
        <v/>
      </c>
    </row>
    <row r="17">
      <c r="A17" s="4" t="inlineStr"/>
      <c r="B17" s="4" t="inlineStr"/>
      <c r="C17" s="17" t="inlineStr">
        <is>
          <t>- Bản sàn tầng 2 (Dày 120mm, trừ diện tích ô thang 18m2)</t>
        </is>
      </c>
      <c r="D17" s="4" t="inlineStr">
        <is>
          <t>m3</t>
        </is>
      </c>
      <c r="E17" s="6" t="n">
        <v>1</v>
      </c>
      <c r="F17" s="7" t="n">
        <v>28</v>
      </c>
      <c r="G17" s="7" t="n">
        <v>12</v>
      </c>
      <c r="H17" s="7" t="n">
        <v>0.12</v>
      </c>
      <c r="I17" s="7" t="n">
        <v>0.95</v>
      </c>
      <c r="J17" s="7">
        <f>E17*F17*G17*H17*I17</f>
        <v/>
      </c>
      <c r="K17" s="5" t="n"/>
      <c r="L17" s="5" t="n"/>
    </row>
    <row r="18">
      <c r="A18" s="4" t="inlineStr"/>
      <c r="B18" s="4" t="inlineStr"/>
      <c r="C18" s="17" t="inlineStr">
        <is>
          <t>- Hệ dầm chính dọc trục A, B tầng 2 (2 dầm 300x600)</t>
        </is>
      </c>
      <c r="D18" s="4" t="inlineStr">
        <is>
          <t>m3</t>
        </is>
      </c>
      <c r="E18" s="6" t="n">
        <v>2</v>
      </c>
      <c r="F18" s="7" t="n">
        <v>28</v>
      </c>
      <c r="G18" s="7" t="n">
        <v>0.3</v>
      </c>
      <c r="H18" s="7" t="n">
        <v>0.48</v>
      </c>
      <c r="I18" s="7" t="n">
        <v>1</v>
      </c>
      <c r="J18" s="7">
        <f>E18*F18*G18*H18*I18</f>
        <v/>
      </c>
      <c r="K18" s="5" t="n"/>
      <c r="L18" s="5" t="n"/>
    </row>
    <row r="19">
      <c r="A19" s="4" t="inlineStr"/>
      <c r="B19" s="4" t="inlineStr"/>
      <c r="C19" s="17" t="inlineStr">
        <is>
          <t>- Hệ dầm chính ngang tầng 2 (5 dầm 250x500)</t>
        </is>
      </c>
      <c r="D19" s="4" t="inlineStr">
        <is>
          <t>m3</t>
        </is>
      </c>
      <c r="E19" s="6" t="n">
        <v>5</v>
      </c>
      <c r="F19" s="7" t="n">
        <v>12</v>
      </c>
      <c r="G19" s="7" t="n">
        <v>0.25</v>
      </c>
      <c r="H19" s="7" t="n">
        <v>0.38</v>
      </c>
      <c r="I19" s="7" t="n">
        <v>1</v>
      </c>
      <c r="J19" s="7">
        <f>E19*F19*G19*H19*I19</f>
        <v/>
      </c>
      <c r="K19" s="5" t="n"/>
      <c r="L19" s="5" t="n"/>
    </row>
    <row r="20">
      <c r="A20" s="4" t="inlineStr"/>
      <c r="B20" s="4" t="inlineStr"/>
      <c r="C20" s="17" t="inlineStr">
        <is>
          <t>- Bản sàn tầng 3 (Dày 120mm)</t>
        </is>
      </c>
      <c r="D20" s="4" t="inlineStr">
        <is>
          <t>m3</t>
        </is>
      </c>
      <c r="E20" s="6" t="n">
        <v>1</v>
      </c>
      <c r="F20" s="7" t="n">
        <v>28</v>
      </c>
      <c r="G20" s="7" t="n">
        <v>12</v>
      </c>
      <c r="H20" s="7" t="n">
        <v>0.12</v>
      </c>
      <c r="I20" s="7" t="n">
        <v>0.95</v>
      </c>
      <c r="J20" s="7">
        <f>E20*F20*G20*H20*I20</f>
        <v/>
      </c>
      <c r="K20" s="5" t="n"/>
      <c r="L20" s="5" t="n"/>
    </row>
    <row r="21">
      <c r="A21" s="4" t="inlineStr"/>
      <c r="B21" s="4" t="inlineStr"/>
      <c r="C21" s="17" t="inlineStr">
        <is>
          <t>- Hệ dầm sàn tầng 3</t>
        </is>
      </c>
      <c r="D21" s="4" t="inlineStr">
        <is>
          <t>m3</t>
        </is>
      </c>
      <c r="E21" s="6" t="n">
        <v>2</v>
      </c>
      <c r="F21" s="7" t="n">
        <v>28</v>
      </c>
      <c r="G21" s="7" t="n">
        <v>0.3</v>
      </c>
      <c r="H21" s="7" t="n">
        <v>0.48</v>
      </c>
      <c r="I21" s="7" t="n">
        <v>1</v>
      </c>
      <c r="J21" s="7">
        <f>E21*F21*G21*H21*I21</f>
        <v/>
      </c>
      <c r="K21" s="5" t="n"/>
      <c r="L21" s="5" t="n"/>
    </row>
    <row r="22">
      <c r="A22" s="4" t="inlineStr"/>
      <c r="B22" s="4" t="inlineStr"/>
      <c r="C22" s="17" t="inlineStr">
        <is>
          <t>- Bản sàn mái và dầm mái tum</t>
        </is>
      </c>
      <c r="D22" s="4" t="inlineStr">
        <is>
          <t>m3</t>
        </is>
      </c>
      <c r="E22" s="6" t="n">
        <v>1</v>
      </c>
      <c r="F22" s="7" t="n">
        <v>28</v>
      </c>
      <c r="G22" s="7" t="n">
        <v>12</v>
      </c>
      <c r="H22" s="7" t="n">
        <v>0.12</v>
      </c>
      <c r="I22" s="7" t="n">
        <v>0.85</v>
      </c>
      <c r="J22" s="7">
        <f>E22*F22*G22*H22*I22</f>
        <v/>
      </c>
      <c r="K22" s="5" t="n"/>
      <c r="L22" s="5" t="n"/>
    </row>
    <row r="23">
      <c r="A23" s="4" t="inlineStr"/>
      <c r="B23" s="4" t="inlineStr"/>
      <c r="C23" s="17" t="inlineStr">
        <is>
          <t>- Bản thang bộ và dầm chiếu nghỉ (3 vế thang)</t>
        </is>
      </c>
      <c r="D23" s="4" t="inlineStr">
        <is>
          <t>m3</t>
        </is>
      </c>
      <c r="E23" s="6" t="n">
        <v>3</v>
      </c>
      <c r="F23" s="7" t="n">
        <v>4.2</v>
      </c>
      <c r="G23" s="7" t="n">
        <v>1.4</v>
      </c>
      <c r="H23" s="7" t="n">
        <v>0.15</v>
      </c>
      <c r="I23" s="7" t="n">
        <v>1</v>
      </c>
      <c r="J23" s="7">
        <f>E23*F23*G23*H23*I23</f>
        <v/>
      </c>
      <c r="K23" s="5" t="n"/>
      <c r="L23" s="5" t="n"/>
    </row>
    <row r="24">
      <c r="A24" s="4" t="n">
        <v>4</v>
      </c>
      <c r="B24" s="4" t="inlineStr">
        <is>
          <t>AF.83111</t>
        </is>
      </c>
      <c r="C24" s="14" t="inlineStr">
        <is>
          <t>Ván khuôn dầm sàn và cầu thang bộ phủ phim kết hợp giáo nêm</t>
        </is>
      </c>
      <c r="D24" s="4" t="inlineStr">
        <is>
          <t>m2</t>
        </is>
      </c>
      <c r="E24" s="5" t="n"/>
      <c r="F24" s="5" t="n"/>
      <c r="G24" s="5" t="n"/>
      <c r="H24" s="5" t="n"/>
      <c r="I24" s="5" t="n"/>
      <c r="J24" s="15">
        <f>SUM(J25:J28)</f>
        <v/>
      </c>
      <c r="K24" s="6" t="n">
        <v>225000</v>
      </c>
      <c r="L24" s="16">
        <f>J24*K24</f>
        <v/>
      </c>
    </row>
    <row r="25">
      <c r="A25" s="4" t="inlineStr"/>
      <c r="B25" s="4" t="inlineStr"/>
      <c r="C25" s="17" t="inlineStr">
        <is>
          <t>- Đáy và thành dầm sàn tầng 2</t>
        </is>
      </c>
      <c r="D25" s="4" t="inlineStr">
        <is>
          <t>m2</t>
        </is>
      </c>
      <c r="E25" s="6" t="n">
        <v>1</v>
      </c>
      <c r="F25" s="7" t="n">
        <v>28</v>
      </c>
      <c r="G25" s="7" t="n">
        <v>12</v>
      </c>
      <c r="H25" s="7" t="n">
        <v>1</v>
      </c>
      <c r="I25" s="7" t="n">
        <v>1.15</v>
      </c>
      <c r="J25" s="7">
        <f>E25*F25*G25*H25*I25</f>
        <v/>
      </c>
      <c r="K25" s="5" t="n"/>
      <c r="L25" s="5" t="n"/>
    </row>
    <row r="26">
      <c r="A26" s="4" t="inlineStr"/>
      <c r="B26" s="4" t="inlineStr"/>
      <c r="C26" s="17" t="inlineStr">
        <is>
          <t>- Đáy và thành dầm sàn tầng 3</t>
        </is>
      </c>
      <c r="D26" s="4" t="inlineStr">
        <is>
          <t>m2</t>
        </is>
      </c>
      <c r="E26" s="6" t="n">
        <v>1</v>
      </c>
      <c r="F26" s="7" t="n">
        <v>28</v>
      </c>
      <c r="G26" s="7" t="n">
        <v>12</v>
      </c>
      <c r="H26" s="7" t="n">
        <v>1</v>
      </c>
      <c r="I26" s="7" t="n">
        <v>1.15</v>
      </c>
      <c r="J26" s="7">
        <f>E26*F26*G26*H26*I26</f>
        <v/>
      </c>
      <c r="K26" s="5" t="n"/>
      <c r="L26" s="5" t="n"/>
    </row>
    <row r="27">
      <c r="A27" s="4" t="inlineStr"/>
      <c r="B27" s="4" t="inlineStr"/>
      <c r="C27" s="17" t="inlineStr">
        <is>
          <t>- Đáy và thành dầm sàn tầng mái</t>
        </is>
      </c>
      <c r="D27" s="4" t="inlineStr">
        <is>
          <t>m2</t>
        </is>
      </c>
      <c r="E27" s="6" t="n">
        <v>1</v>
      </c>
      <c r="F27" s="7" t="n">
        <v>28</v>
      </c>
      <c r="G27" s="7" t="n">
        <v>12</v>
      </c>
      <c r="H27" s="7" t="n">
        <v>1</v>
      </c>
      <c r="I27" s="7" t="n">
        <v>1.05</v>
      </c>
      <c r="J27" s="7">
        <f>E27*F27*G27*H27*I27</f>
        <v/>
      </c>
      <c r="K27" s="5" t="n"/>
      <c r="L27" s="5" t="n"/>
    </row>
    <row r="28">
      <c r="A28" s="4" t="inlineStr"/>
      <c r="B28" s="4" t="inlineStr"/>
      <c r="C28" s="17" t="inlineStr">
        <is>
          <t>- Cầu thang bộ (đáy bản nghiêng và cốn thang)</t>
        </is>
      </c>
      <c r="D28" s="4" t="inlineStr">
        <is>
          <t>m2</t>
        </is>
      </c>
      <c r="E28" s="6" t="n">
        <v>3</v>
      </c>
      <c r="F28" s="7" t="n">
        <v>4.5</v>
      </c>
      <c r="G28" s="7" t="n">
        <v>1.4</v>
      </c>
      <c r="H28" s="7" t="n">
        <v>1</v>
      </c>
      <c r="I28" s="7" t="n">
        <v>1.2</v>
      </c>
      <c r="J28" s="7">
        <f>E28*F28*G28*H28*I28</f>
        <v/>
      </c>
      <c r="K28" s="5" t="n"/>
      <c r="L28" s="5" t="n"/>
    </row>
    <row r="29">
      <c r="A29" s="4" t="n">
        <v>5</v>
      </c>
      <c r="B29" s="4" t="inlineStr">
        <is>
          <t>AF.61310</t>
        </is>
      </c>
      <c r="C29" s="14" t="inlineStr">
        <is>
          <t>Cốt thép kết cấu thân (Cột, Dầm, Sàn, Thang) - Link từ Sheet Thép 11.7m</t>
        </is>
      </c>
      <c r="D29" s="4" t="inlineStr">
        <is>
          <t>tấn</t>
        </is>
      </c>
      <c r="E29" s="5" t="n"/>
      <c r="F29" s="5" t="n"/>
      <c r="G29" s="5" t="n"/>
      <c r="H29" s="5" t="n"/>
      <c r="I29" s="5" t="n"/>
      <c r="J29" s="7">
        <f>TO_HOP_CAT_THEP_11M7!K18/1000</f>
        <v/>
      </c>
      <c r="K29" s="6" t="n">
        <v>23500000</v>
      </c>
      <c r="L29" s="16">
        <f>J29*K29</f>
        <v/>
      </c>
    </row>
    <row r="30">
      <c r="A30" s="18" t="inlineStr">
        <is>
          <t>TỔNG CỘNG CHI PHÍ TRỰC TIẾP HẠNG MỤC (T_i)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n"/>
      <c r="L30" s="19">
        <f>L7+L11+L16+L24+L29</f>
        <v/>
      </c>
    </row>
  </sheetData>
  <mergeCells count="3">
    <mergeCell ref="A30:K30"/>
    <mergeCell ref="A6:L6"/>
    <mergeCell ref="A15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89" customWidth="1" min="2" max="2"/>
    <col width="52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23" customWidth="1" min="10" max="10"/>
    <col width="11" customWidth="1" min="11" max="11"/>
    <col width="46" customWidth="1" min="12" max="12"/>
  </cols>
  <sheetData>
    <row r="1"/>
    <row r="2">
      <c r="B2" s="1" t="inlineStr">
        <is>
          <t>HẠNG MỤC III: HOÀN THIỆN KIẾN TRÚC CÔNG TRÌNH DÂN DỤNG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4"/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CÔNG TÁC XÂY TƯỜNG, TRÁT VÀ CHỐNG THẤM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AK.21111</t>
        </is>
      </c>
      <c r="C7" s="14" t="inlineStr">
        <is>
          <t>Xây tường bao che ngoài nhà dày 220mm gạch tuynel vữa M75</t>
        </is>
      </c>
      <c r="D7" s="4" t="inlineStr">
        <is>
          <t>m3</t>
        </is>
      </c>
      <c r="E7" s="5" t="n"/>
      <c r="F7" s="5" t="n"/>
      <c r="G7" s="5" t="n"/>
      <c r="H7" s="5" t="n"/>
      <c r="I7" s="5" t="n"/>
      <c r="J7" s="15">
        <f>SUM(J8:J10)</f>
        <v/>
      </c>
      <c r="K7" s="6" t="n">
        <v>1380000</v>
      </c>
      <c r="L7" s="16">
        <f>J7*K7</f>
        <v/>
      </c>
    </row>
    <row r="8">
      <c r="A8" s="4" t="inlineStr"/>
      <c r="B8" s="4" t="inlineStr"/>
      <c r="C8" s="17" t="inlineStr">
        <is>
          <t>- Tường ngoài tầng 1 (Chu vi 80m, cao 3.9m, trừ cửa 20%)</t>
        </is>
      </c>
      <c r="D8" s="4" t="inlineStr">
        <is>
          <t>m3</t>
        </is>
      </c>
      <c r="E8" s="6" t="n">
        <v>1</v>
      </c>
      <c r="F8" s="7" t="n">
        <v>80</v>
      </c>
      <c r="G8" s="7" t="n">
        <v>0.22</v>
      </c>
      <c r="H8" s="7" t="n">
        <v>3.9</v>
      </c>
      <c r="I8" s="7" t="n">
        <v>0.8</v>
      </c>
      <c r="J8" s="7">
        <f>E8*F8*G8*H8*I8</f>
        <v/>
      </c>
      <c r="K8" s="5" t="n"/>
      <c r="L8" s="5" t="n"/>
    </row>
    <row r="9">
      <c r="A9" s="4" t="inlineStr"/>
      <c r="B9" s="4" t="inlineStr"/>
      <c r="C9" s="17" t="inlineStr">
        <is>
          <t>- Tường ngoài tầng 2 (Chu vi 80m, cao 3.6m, trừ cửa 25%)</t>
        </is>
      </c>
      <c r="D9" s="4" t="inlineStr">
        <is>
          <t>m3</t>
        </is>
      </c>
      <c r="E9" s="6" t="n">
        <v>1</v>
      </c>
      <c r="F9" s="7" t="n">
        <v>80</v>
      </c>
      <c r="G9" s="7" t="n">
        <v>0.22</v>
      </c>
      <c r="H9" s="7" t="n">
        <v>3.6</v>
      </c>
      <c r="I9" s="7" t="n">
        <v>0.75</v>
      </c>
      <c r="J9" s="7">
        <f>E9*F9*G9*H9*I9</f>
        <v/>
      </c>
      <c r="K9" s="5" t="n"/>
      <c r="L9" s="5" t="n"/>
    </row>
    <row r="10">
      <c r="A10" s="4" t="inlineStr"/>
      <c r="B10" s="4" t="inlineStr"/>
      <c r="C10" s="17" t="inlineStr">
        <is>
          <t>- Tường ngoài tầng 3 (Chu vi 80m, cao 3.6m, trừ cửa 25%)</t>
        </is>
      </c>
      <c r="D10" s="4" t="inlineStr">
        <is>
          <t>m3</t>
        </is>
      </c>
      <c r="E10" s="6" t="n">
        <v>1</v>
      </c>
      <c r="F10" s="7" t="n">
        <v>80</v>
      </c>
      <c r="G10" s="7" t="n">
        <v>0.22</v>
      </c>
      <c r="H10" s="7" t="n">
        <v>3.6</v>
      </c>
      <c r="I10" s="7" t="n">
        <v>0.75</v>
      </c>
      <c r="J10" s="7">
        <f>E10*F10*G10*H10*I10</f>
        <v/>
      </c>
      <c r="K10" s="5" t="n"/>
      <c r="L10" s="5" t="n"/>
    </row>
    <row r="11">
      <c r="A11" s="4" t="n">
        <v>2</v>
      </c>
      <c r="B11" s="4" t="inlineStr">
        <is>
          <t>AK.21211</t>
        </is>
      </c>
      <c r="C11" s="14" t="inlineStr">
        <is>
          <t>Xây tường ngăn phòng trong nhà dày 110mm gạch tuynel vữa M75</t>
        </is>
      </c>
      <c r="D11" s="4" t="inlineStr">
        <is>
          <t>m3</t>
        </is>
      </c>
      <c r="E11" s="5" t="n"/>
      <c r="F11" s="5" t="n"/>
      <c r="G11" s="5" t="n"/>
      <c r="H11" s="5" t="n"/>
      <c r="I11" s="5" t="n"/>
      <c r="J11" s="15">
        <f>SUM(J12:J14)</f>
        <v/>
      </c>
      <c r="K11" s="6" t="n">
        <v>1420000</v>
      </c>
      <c r="L11" s="16">
        <f>J11*K11</f>
        <v/>
      </c>
    </row>
    <row r="12">
      <c r="A12" s="4" t="inlineStr"/>
      <c r="B12" s="4" t="inlineStr"/>
      <c r="C12" s="17" t="inlineStr">
        <is>
          <t>- Tường ngăn phòng tầng 1</t>
        </is>
      </c>
      <c r="D12" s="4" t="inlineStr">
        <is>
          <t>m3</t>
        </is>
      </c>
      <c r="E12" s="6" t="n">
        <v>6</v>
      </c>
      <c r="F12" s="7" t="n">
        <v>12</v>
      </c>
      <c r="G12" s="7" t="n">
        <v>0.11</v>
      </c>
      <c r="H12" s="7" t="n">
        <v>3.9</v>
      </c>
      <c r="I12" s="7" t="n">
        <v>0.85</v>
      </c>
      <c r="J12" s="7">
        <f>E12*F12*G12*H12*I12</f>
        <v/>
      </c>
      <c r="K12" s="5" t="n"/>
      <c r="L12" s="5" t="n"/>
    </row>
    <row r="13">
      <c r="A13" s="4" t="inlineStr"/>
      <c r="B13" s="4" t="inlineStr"/>
      <c r="C13" s="17" t="inlineStr">
        <is>
          <t>- Tường ngăn phòng tầng 2</t>
        </is>
      </c>
      <c r="D13" s="4" t="inlineStr">
        <is>
          <t>m3</t>
        </is>
      </c>
      <c r="E13" s="6" t="n">
        <v>8</v>
      </c>
      <c r="F13" s="7" t="n">
        <v>12</v>
      </c>
      <c r="G13" s="7" t="n">
        <v>0.11</v>
      </c>
      <c r="H13" s="7" t="n">
        <v>3.6</v>
      </c>
      <c r="I13" s="7" t="n">
        <v>0.85</v>
      </c>
      <c r="J13" s="7">
        <f>E13*F13*G13*H13*I13</f>
        <v/>
      </c>
      <c r="K13" s="5" t="n"/>
      <c r="L13" s="5" t="n"/>
    </row>
    <row r="14">
      <c r="A14" s="4" t="inlineStr"/>
      <c r="B14" s="4" t="inlineStr"/>
      <c r="C14" s="17" t="inlineStr">
        <is>
          <t>- Tường ngăn phòng tầng 3</t>
        </is>
      </c>
      <c r="D14" s="4" t="inlineStr">
        <is>
          <t>m3</t>
        </is>
      </c>
      <c r="E14" s="6" t="n">
        <v>8</v>
      </c>
      <c r="F14" s="7" t="n">
        <v>12</v>
      </c>
      <c r="G14" s="7" t="n">
        <v>0.11</v>
      </c>
      <c r="H14" s="7" t="n">
        <v>3.6</v>
      </c>
      <c r="I14" s="7" t="n">
        <v>0.85</v>
      </c>
      <c r="J14" s="7">
        <f>E14*F14*G14*H14*I14</f>
        <v/>
      </c>
      <c r="K14" s="5" t="n"/>
      <c r="L14" s="5" t="n"/>
    </row>
    <row r="15">
      <c r="A15" s="4" t="n">
        <v>3</v>
      </c>
      <c r="B15" s="4" t="inlineStr">
        <is>
          <t>AK.51111</t>
        </is>
      </c>
      <c r="C15" s="14" t="inlineStr">
        <is>
          <t>Trát tường ngoài nhà vữa XM M75 dày 1.5cm có phụ gia chống thấm</t>
        </is>
      </c>
      <c r="D15" s="4" t="inlineStr">
        <is>
          <t>m2</t>
        </is>
      </c>
      <c r="E15" s="6" t="n">
        <v>1</v>
      </c>
      <c r="F15" s="7" t="n">
        <v>80</v>
      </c>
      <c r="G15" s="7" t="n">
        <v>11.5</v>
      </c>
      <c r="H15" s="7" t="n">
        <v>1</v>
      </c>
      <c r="I15" s="7" t="n">
        <v>0.85</v>
      </c>
      <c r="J15" s="7">
        <f>E15*F15*G15*H15*I15</f>
        <v/>
      </c>
      <c r="K15" s="6" t="n">
        <v>125000</v>
      </c>
      <c r="L15" s="16">
        <f>J15*K15</f>
        <v/>
      </c>
    </row>
    <row r="16">
      <c r="A16" s="4" t="n">
        <v>4</v>
      </c>
      <c r="B16" s="4" t="inlineStr">
        <is>
          <t>AK.51211</t>
        </is>
      </c>
      <c r="C16" s="14" t="inlineStr">
        <is>
          <t>Trát tường trong nhà và dầm trần vữa XM M75 dày 1.5cm</t>
        </is>
      </c>
      <c r="D16" s="4" t="inlineStr">
        <is>
          <t>m2</t>
        </is>
      </c>
      <c r="E16" s="6" t="n">
        <v>1</v>
      </c>
      <c r="F16" s="7" t="n">
        <v>28</v>
      </c>
      <c r="G16" s="7" t="n">
        <v>12</v>
      </c>
      <c r="H16" s="7" t="n">
        <v>1</v>
      </c>
      <c r="I16" s="7" t="n">
        <v>4.8</v>
      </c>
      <c r="J16" s="7">
        <f>E16*F16*G16*H16*I16</f>
        <v/>
      </c>
      <c r="K16" s="6" t="n">
        <v>110000</v>
      </c>
      <c r="L16" s="16">
        <f>J16*K16</f>
        <v/>
      </c>
    </row>
    <row r="17">
      <c r="A17" s="4" t="n">
        <v>5</v>
      </c>
      <c r="B17" s="4" t="inlineStr">
        <is>
          <t>AK.61111</t>
        </is>
      </c>
      <c r="C17" s="14" t="inlineStr">
        <is>
          <t>Quét chống thấm sàn vệ sinh và sê nô mái (Sika Topseal 107)</t>
        </is>
      </c>
      <c r="D17" s="4" t="inlineStr">
        <is>
          <t>m2</t>
        </is>
      </c>
      <c r="E17" s="6" t="n">
        <v>1</v>
      </c>
      <c r="F17" s="7" t="n">
        <v>28</v>
      </c>
      <c r="G17" s="7" t="n">
        <v>12</v>
      </c>
      <c r="H17" s="7" t="n">
        <v>1</v>
      </c>
      <c r="I17" s="7" t="n">
        <v>0.18</v>
      </c>
      <c r="J17" s="7">
        <f>E17*F17*G17*H17*I17</f>
        <v/>
      </c>
      <c r="K17" s="6" t="n">
        <v>165000</v>
      </c>
      <c r="L17" s="16">
        <f>J17*K17</f>
        <v/>
      </c>
    </row>
    <row r="18" ht="24" customHeight="1">
      <c r="A18" s="13" t="inlineStr">
        <is>
          <t>2. CÔNG TÁC ỐP LÁT, SƠN BẢ, TRẦN THẠCH CAO VÀ CỬA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 t="n"/>
    </row>
    <row r="19">
      <c r="A19" s="4" t="n">
        <v>6</v>
      </c>
      <c r="B19" s="4" t="inlineStr">
        <is>
          <t>AK.71111</t>
        </is>
      </c>
      <c r="C19" s="14" t="inlineStr">
        <is>
          <t>Lát nền gạch Granite nhân tạo 600x600 phòng làm việc và hành lang</t>
        </is>
      </c>
      <c r="D19" s="4" t="inlineStr">
        <is>
          <t>m2</t>
        </is>
      </c>
      <c r="E19" s="6" t="n">
        <v>3</v>
      </c>
      <c r="F19" s="7" t="n">
        <v>28</v>
      </c>
      <c r="G19" s="7" t="n">
        <v>12</v>
      </c>
      <c r="H19" s="7" t="n">
        <v>1</v>
      </c>
      <c r="I19" s="7" t="n">
        <v>0.82</v>
      </c>
      <c r="J19" s="7">
        <f>E19*F19*G19*H19*I19</f>
        <v/>
      </c>
      <c r="K19" s="6" t="n">
        <v>345000</v>
      </c>
      <c r="L19" s="16">
        <f>J19*K19</f>
        <v/>
      </c>
    </row>
    <row r="20">
      <c r="A20" s="4" t="n">
        <v>7</v>
      </c>
      <c r="B20" s="4" t="inlineStr">
        <is>
          <t>AK.71211</t>
        </is>
      </c>
      <c r="C20" s="14" t="inlineStr">
        <is>
          <t>Lát gạch Ceramic chống trượt 300x300 khu vệ sinh và ban công</t>
        </is>
      </c>
      <c r="D20" s="4" t="inlineStr">
        <is>
          <t>m2</t>
        </is>
      </c>
      <c r="E20" s="6" t="n">
        <v>3</v>
      </c>
      <c r="F20" s="7" t="n">
        <v>8</v>
      </c>
      <c r="G20" s="7" t="n">
        <v>4</v>
      </c>
      <c r="H20" s="7" t="n">
        <v>1</v>
      </c>
      <c r="I20" s="7" t="n">
        <v>1</v>
      </c>
      <c r="J20" s="7">
        <f>E20*F20*G20*H20*I20</f>
        <v/>
      </c>
      <c r="K20" s="6" t="n">
        <v>260000</v>
      </c>
      <c r="L20" s="16">
        <f>J20*K20</f>
        <v/>
      </c>
    </row>
    <row r="21">
      <c r="A21" s="4" t="n">
        <v>8</v>
      </c>
      <c r="B21" s="4" t="inlineStr">
        <is>
          <t>AK.81111</t>
        </is>
      </c>
      <c r="C21" s="14" t="inlineStr">
        <is>
          <t>Ốp gạch Ceramic 300x600 tường khu vệ sinh cao H=2.4m</t>
        </is>
      </c>
      <c r="D21" s="4" t="inlineStr">
        <is>
          <t>m2</t>
        </is>
      </c>
      <c r="E21" s="6" t="n">
        <v>3</v>
      </c>
      <c r="F21" s="7" t="n">
        <v>24</v>
      </c>
      <c r="G21" s="7" t="n">
        <v>2.4</v>
      </c>
      <c r="H21" s="7" t="n">
        <v>1</v>
      </c>
      <c r="I21" s="7" t="n">
        <v>1</v>
      </c>
      <c r="J21" s="7">
        <f>E21*F21*G21*H21*I21</f>
        <v/>
      </c>
      <c r="K21" s="6" t="n">
        <v>290000</v>
      </c>
      <c r="L21" s="16">
        <f>J21*K21</f>
        <v/>
      </c>
    </row>
    <row r="22">
      <c r="A22" s="4" t="n">
        <v>9</v>
      </c>
      <c r="B22" s="4" t="inlineStr">
        <is>
          <t>AK.91111</t>
        </is>
      </c>
      <c r="C22" s="14" t="inlineStr">
        <is>
          <t>Sơn bả matit 3 nước tường ngoài và trong nhà (Sơn Dulux cao cấp)</t>
        </is>
      </c>
      <c r="D22" s="4" t="inlineStr">
        <is>
          <t>m2</t>
        </is>
      </c>
      <c r="E22" s="6" t="n">
        <v>1</v>
      </c>
      <c r="F22" s="7" t="n">
        <v>28</v>
      </c>
      <c r="G22" s="7" t="n">
        <v>12</v>
      </c>
      <c r="H22" s="7" t="n">
        <v>1</v>
      </c>
      <c r="I22" s="7" t="n">
        <v>5.5</v>
      </c>
      <c r="J22" s="7">
        <f>E22*F22*G22*H22*I22</f>
        <v/>
      </c>
      <c r="K22" s="6" t="n">
        <v>85000</v>
      </c>
      <c r="L22" s="16">
        <f>J22*K22</f>
        <v/>
      </c>
    </row>
    <row r="23">
      <c r="A23" s="4" t="n">
        <v>10</v>
      </c>
      <c r="B23" s="4" t="inlineStr">
        <is>
          <t>AK.92111</t>
        </is>
      </c>
      <c r="C23" s="14" t="inlineStr">
        <is>
          <t>Trần thạch cao khung chìm chống ẩm tấm Gyproc dày 9mm</t>
        </is>
      </c>
      <c r="D23" s="4" t="inlineStr">
        <is>
          <t>m2</t>
        </is>
      </c>
      <c r="E23" s="6" t="n">
        <v>3</v>
      </c>
      <c r="F23" s="7" t="n">
        <v>28</v>
      </c>
      <c r="G23" s="7" t="n">
        <v>12</v>
      </c>
      <c r="H23" s="7" t="n">
        <v>1</v>
      </c>
      <c r="I23" s="7" t="n">
        <v>0.75</v>
      </c>
      <c r="J23" s="7">
        <f>E23*F23*G23*H23*I23</f>
        <v/>
      </c>
      <c r="K23" s="6" t="n">
        <v>230000</v>
      </c>
      <c r="L23" s="16">
        <f>J23*K23</f>
        <v/>
      </c>
    </row>
    <row r="24">
      <c r="A24" s="4" t="n">
        <v>11</v>
      </c>
      <c r="B24" s="4" t="inlineStr">
        <is>
          <t>CP.11111</t>
        </is>
      </c>
      <c r="C24" s="14" t="inlineStr">
        <is>
          <t>Cửa đi, cửa sổ nhôm hệ Xingfa nhập khẩu kính an toàn 8.38mm</t>
        </is>
      </c>
      <c r="D24" s="4" t="inlineStr">
        <is>
          <t>m2</t>
        </is>
      </c>
      <c r="E24" s="6" t="n">
        <v>1</v>
      </c>
      <c r="F24" s="7" t="n">
        <v>80</v>
      </c>
      <c r="G24" s="7" t="n">
        <v>11.5</v>
      </c>
      <c r="H24" s="7" t="n">
        <v>1</v>
      </c>
      <c r="I24" s="7" t="n">
        <v>0.22</v>
      </c>
      <c r="J24" s="7">
        <f>E24*F24*G24*H24*I24</f>
        <v/>
      </c>
      <c r="K24" s="6" t="n">
        <v>1950000</v>
      </c>
      <c r="L24" s="16">
        <f>J24*K24</f>
        <v/>
      </c>
    </row>
    <row r="25">
      <c r="A25" s="18" t="inlineStr">
        <is>
          <t>TỔNG CỘNG CHI PHÍ TRỰC TIẾP HẠNG MỤC (T_i)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  <c r="L25" s="19">
        <f>L7+L11+L15+L16+L17+L19+L20+L21+L22+L23+L24</f>
        <v/>
      </c>
    </row>
  </sheetData>
  <mergeCells count="3">
    <mergeCell ref="A6:L6"/>
    <mergeCell ref="A25:K25"/>
    <mergeCell ref="A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89" customWidth="1" min="2" max="2"/>
    <col width="50" customWidth="1" min="3" max="3"/>
    <col width="11" customWidth="1" min="4" max="4"/>
    <col width="13" customWidth="1" min="5" max="5"/>
    <col width="11" customWidth="1" min="6" max="6"/>
    <col width="11" customWidth="1" min="7" max="7"/>
    <col width="12" customWidth="1" min="8" max="8"/>
    <col width="11" customWidth="1" min="9" max="9"/>
    <col width="23" customWidth="1" min="10" max="10"/>
    <col width="11" customWidth="1" min="11" max="11"/>
    <col width="24" customWidth="1" min="12" max="12"/>
  </cols>
  <sheetData>
    <row r="1"/>
    <row r="2">
      <c r="B2" s="1" t="inlineStr">
        <is>
          <t>HẠNG MỤC IV: CƠ ĐIỆN (MEP) &amp; CÔNG TRÌNH PHỤ TRỢ AN TOÀN</t>
        </is>
      </c>
    </row>
    <row r="3">
      <c r="B3" s="2" t="inlineStr">
        <is>
          <t>Bóc tách kích thước hình học chi tiết Dài x Rộng x Cao x Số lượng (Liên kết công thức)</t>
        </is>
      </c>
    </row>
    <row r="4"/>
    <row r="5" ht="30" customHeight="1">
      <c r="A5" s="3" t="inlineStr">
        <is>
          <t>TT</t>
        </is>
      </c>
      <c r="B5" s="3" t="inlineStr">
        <is>
          <t>Mã hiệu
định mức</t>
        </is>
      </c>
      <c r="C5" s="3" t="inlineStr">
        <is>
          <t>Nội dung công tác &amp; Diễn giải hình học cấu kiện</t>
        </is>
      </c>
      <c r="D5" s="3" t="inlineStr">
        <is>
          <t>ĐVT</t>
        </is>
      </c>
      <c r="E5" s="3" t="inlineStr">
        <is>
          <t>Số lượng
(Cấu kiện)</t>
        </is>
      </c>
      <c r="F5" s="3" t="inlineStr">
        <is>
          <t>Dài
(m)</t>
        </is>
      </c>
      <c r="G5" s="3" t="inlineStr">
        <is>
          <t>Rộng
(m)</t>
        </is>
      </c>
      <c r="H5" s="3" t="inlineStr">
        <is>
          <t>Cao / Dày
(m)</t>
        </is>
      </c>
      <c r="I5" s="3" t="inlineStr">
        <is>
          <t>Hệ số
hình học</t>
        </is>
      </c>
      <c r="J5" s="3" t="inlineStr">
        <is>
          <t>Khối lượng
(Công thức)</t>
        </is>
      </c>
      <c r="K5" s="3" t="inlineStr">
        <is>
          <t>Đơn giá
(VNĐ)</t>
        </is>
      </c>
      <c r="L5" s="3" t="inlineStr">
        <is>
          <t>Thành tiền
(VNĐ)</t>
        </is>
      </c>
    </row>
    <row r="6" ht="24" customHeight="1">
      <c r="A6" s="13" t="inlineStr">
        <is>
          <t>1. HỆ THỐNG CƠ ĐIỆN (MEP) VÀ THIẾT BỊ VỆ SINH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 t="n"/>
    </row>
    <row r="7">
      <c r="A7" s="4" t="n">
        <v>1</v>
      </c>
      <c r="B7" s="4" t="inlineStr">
        <is>
          <t>BA.11111</t>
        </is>
      </c>
      <c r="C7" s="14" t="inlineStr">
        <is>
          <t>Hệ thống cấp nước ống hàn nhiệt PPR D25-D50 và phụ kiện</t>
        </is>
      </c>
      <c r="D7" s="4" t="inlineStr">
        <is>
          <t>mét</t>
        </is>
      </c>
      <c r="E7" s="6" t="n">
        <v>3</v>
      </c>
      <c r="F7" s="7" t="n">
        <v>65</v>
      </c>
      <c r="G7" s="7" t="n">
        <v>1</v>
      </c>
      <c r="H7" s="7" t="n">
        <v>1</v>
      </c>
      <c r="I7" s="7" t="n">
        <v>1</v>
      </c>
      <c r="J7" s="7">
        <f>E7*F7*G7*H7*I7</f>
        <v/>
      </c>
      <c r="K7" s="6" t="n">
        <v>95000</v>
      </c>
      <c r="L7" s="16">
        <f>J7*K7</f>
        <v/>
      </c>
    </row>
    <row r="8">
      <c r="A8" s="4" t="n">
        <v>2</v>
      </c>
      <c r="B8" s="4" t="inlineStr">
        <is>
          <t>BA.12111</t>
        </is>
      </c>
      <c r="C8" s="14" t="inlineStr">
        <is>
          <t>Hệ thống thoát nước ống uPVC Tiền Phong D60-D110</t>
        </is>
      </c>
      <c r="D8" s="4" t="inlineStr">
        <is>
          <t>mét</t>
        </is>
      </c>
      <c r="E8" s="6" t="n">
        <v>3</v>
      </c>
      <c r="F8" s="7" t="n">
        <v>85</v>
      </c>
      <c r="G8" s="7" t="n">
        <v>1</v>
      </c>
      <c r="H8" s="7" t="n">
        <v>1</v>
      </c>
      <c r="I8" s="7" t="n">
        <v>1</v>
      </c>
      <c r="J8" s="7">
        <f>E8*F8*G8*H8*I8</f>
        <v/>
      </c>
      <c r="K8" s="6" t="n">
        <v>115000</v>
      </c>
      <c r="L8" s="16">
        <f>J8*K8</f>
        <v/>
      </c>
    </row>
    <row r="9">
      <c r="A9" s="4" t="n">
        <v>3</v>
      </c>
      <c r="B9" s="4" t="inlineStr">
        <is>
          <t>BA.21111</t>
        </is>
      </c>
      <c r="C9" s="14" t="inlineStr">
        <is>
          <t>Thiết bị vệ sinh đồng bộ (Bồn cầu, Lavabo, vòi sen Inax)</t>
        </is>
      </c>
      <c r="D9" s="4" t="inlineStr">
        <is>
          <t>bộ</t>
        </is>
      </c>
      <c r="E9" s="6" t="n">
        <v>6</v>
      </c>
      <c r="F9" s="7" t="n">
        <v>1</v>
      </c>
      <c r="G9" s="7" t="n">
        <v>1</v>
      </c>
      <c r="H9" s="7" t="n">
        <v>1</v>
      </c>
      <c r="I9" s="7" t="n">
        <v>1</v>
      </c>
      <c r="J9" s="7">
        <f>E9*F9*G9*H9*I9</f>
        <v/>
      </c>
      <c r="K9" s="6" t="n">
        <v>6800000</v>
      </c>
      <c r="L9" s="16">
        <f>J9*K9</f>
        <v/>
      </c>
    </row>
    <row r="10">
      <c r="A10" s="4" t="n">
        <v>4</v>
      </c>
      <c r="B10" s="4" t="inlineStr">
        <is>
          <t>BD.11111</t>
        </is>
      </c>
      <c r="C10" s="14" t="inlineStr">
        <is>
          <t>Hệ thống cấp điện chiếu sáng, ổ cắm và dây cáp ngầm Cadisun</t>
        </is>
      </c>
      <c r="D10" s="4" t="inlineStr">
        <is>
          <t>m2_san</t>
        </is>
      </c>
      <c r="E10" s="6" t="n">
        <v>3</v>
      </c>
      <c r="F10" s="7" t="n">
        <v>28</v>
      </c>
      <c r="G10" s="7" t="n">
        <v>12</v>
      </c>
      <c r="H10" s="7" t="n">
        <v>1</v>
      </c>
      <c r="I10" s="7" t="n">
        <v>1</v>
      </c>
      <c r="J10" s="7">
        <f>E10*F10*G10*H10*I10</f>
        <v/>
      </c>
      <c r="K10" s="6" t="n">
        <v>240000</v>
      </c>
      <c r="L10" s="16">
        <f>J10*K10</f>
        <v/>
      </c>
    </row>
    <row r="11">
      <c r="A11" s="4" t="n">
        <v>5</v>
      </c>
      <c r="B11" s="4" t="inlineStr">
        <is>
          <t>BD.21111</t>
        </is>
      </c>
      <c r="C11" s="14" t="inlineStr">
        <is>
          <t>Hệ thống chống sét tia tiên đạo bán kính R=50m và tiếp địa đồng</t>
        </is>
      </c>
      <c r="D11" s="4" t="inlineStr">
        <is>
          <t>hệ</t>
        </is>
      </c>
      <c r="E11" s="6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>
        <f>E11*F11*G11*H11*I11</f>
        <v/>
      </c>
      <c r="K11" s="6" t="n">
        <v>38500000</v>
      </c>
      <c r="L11" s="16">
        <f>J11*K11</f>
        <v/>
      </c>
    </row>
    <row r="12" ht="24" customHeight="1">
      <c r="A12" s="13" t="inlineStr">
        <is>
          <t>2. GIÀN GIÁO THÉP BAO CHE AN TOÀN LAO ĐỘNG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" t="n"/>
    </row>
    <row r="13">
      <c r="A13" s="4" t="n">
        <v>6</v>
      </c>
      <c r="B13" s="4" t="inlineStr">
        <is>
          <t>AL.51111</t>
        </is>
      </c>
      <c r="C13" s="14" t="inlineStr">
        <is>
          <t>Giàn giáo thép bao che ngoài nhà kết hợp lưới chống rơi H=14.5m</t>
        </is>
      </c>
      <c r="D13" s="4" t="inlineStr">
        <is>
          <t>m2</t>
        </is>
      </c>
      <c r="E13" s="6" t="n">
        <v>1</v>
      </c>
      <c r="F13" s="7" t="n">
        <v>80</v>
      </c>
      <c r="G13" s="7" t="n">
        <v>14.5</v>
      </c>
      <c r="H13" s="7" t="n">
        <v>1</v>
      </c>
      <c r="I13" s="7" t="n">
        <v>1</v>
      </c>
      <c r="J13" s="7">
        <f>E13*F13*G13*H13*I13</f>
        <v/>
      </c>
      <c r="K13" s="6" t="n">
        <v>48000</v>
      </c>
      <c r="L13" s="16">
        <f>J13*K13</f>
        <v/>
      </c>
    </row>
    <row r="14">
      <c r="A14" s="18" t="inlineStr">
        <is>
          <t>TỔNG CỘNG CHI PHÍ TRỰC TIẾP HẠNG MỤC (T_i)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  <c r="L14" s="19">
        <f>L7+L8+L9+L10+L11+L13</f>
        <v/>
      </c>
    </row>
  </sheetData>
  <mergeCells count="3">
    <mergeCell ref="A14:K14"/>
    <mergeCell ref="A6:L6"/>
    <mergeCell ref="A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11" customWidth="1" min="4" max="4"/>
    <col width="20" customWidth="1" min="5" max="5"/>
  </cols>
  <sheetData>
    <row r="1"/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TỔNG HỢP DỰ TOÁN KINH PHÍ XÂY DỰNG G_XD (CHUẨN CÔNG TRÌNH DÂN DỤNG)</t>
        </is>
      </c>
    </row>
    <row r="4"/>
    <row r="5" ht="30" customHeight="1">
      <c r="A5" s="3" t="inlineStr">
        <is>
          <t>TT</t>
        </is>
      </c>
      <c r="B5" s="3" t="inlineStr">
        <is>
          <t>Khoản mục chi phí / Phân cấp hạng mục</t>
        </is>
      </c>
      <c r="C5" s="3" t="inlineStr">
        <is>
          <t>Cách tính / Căn cứ định mức TT 11/2021</t>
        </is>
      </c>
      <c r="D5" s="3" t="inlineStr">
        <is>
          <t>Ký hiệu</t>
        </is>
      </c>
      <c r="E5" s="3" t="inlineStr">
        <is>
          <t>Giá trị (VNĐ)</t>
        </is>
      </c>
    </row>
    <row r="6">
      <c r="A6" s="4" t="n">
        <v>1</v>
      </c>
      <c r="B6" s="5" t="inlineStr">
        <is>
          <t>HẠNG MỤC I: PHẦN NGẦM &amp; MÓNG BĂNG</t>
        </is>
      </c>
      <c r="C6" s="5" t="inlineStr">
        <is>
          <t>Link từ Sheet QS Móng (Ô L28)</t>
        </is>
      </c>
      <c r="D6" s="4" t="inlineStr">
        <is>
          <t>T_1</t>
        </is>
      </c>
      <c r="E6" s="6">
        <f>QS_PHAN_NGAM_MONG!L28</f>
        <v/>
      </c>
    </row>
    <row r="7">
      <c r="A7" s="4" t="n">
        <v>2</v>
      </c>
      <c r="B7" s="5" t="inlineStr">
        <is>
          <t>HẠNG MỤC II: KẾT CẤU THÂN (CỘT, DẦM, SÀN, THANG)</t>
        </is>
      </c>
      <c r="C7" s="5" t="inlineStr">
        <is>
          <t>Link từ Sheet QS Thân (Ô L30)</t>
        </is>
      </c>
      <c r="D7" s="4" t="inlineStr">
        <is>
          <t>T_2</t>
        </is>
      </c>
      <c r="E7" s="6">
        <f>QS_KET_CAU_THAN!L30</f>
        <v/>
      </c>
    </row>
    <row r="8">
      <c r="A8" s="4" t="n">
        <v>3</v>
      </c>
      <c r="B8" s="5" t="inlineStr">
        <is>
          <t>HẠNG MỤC III: HOÀN THIỆN KIẾN TRÚC</t>
        </is>
      </c>
      <c r="C8" s="5" t="inlineStr">
        <is>
          <t>Link từ Sheet QS Hoàn thiện (Ô L25)</t>
        </is>
      </c>
      <c r="D8" s="4" t="inlineStr">
        <is>
          <t>T_3</t>
        </is>
      </c>
      <c r="E8" s="6">
        <f>QS_HOAN_THIEN!L25</f>
        <v/>
      </c>
    </row>
    <row r="9">
      <c r="A9" s="4" t="n">
        <v>4</v>
      </c>
      <c r="B9" s="5" t="inlineStr">
        <is>
          <t>HẠNG MỤC IV: CƠ ĐIỆN (MEP) &amp; GIÀN GIÁO BAO CHE</t>
        </is>
      </c>
      <c r="C9" s="5" t="inlineStr">
        <is>
          <t>Link từ Sheet QS MEP (Ô L14)</t>
        </is>
      </c>
      <c r="D9" s="4" t="inlineStr">
        <is>
          <t>T_4</t>
        </is>
      </c>
      <c r="E9" s="6">
        <f>QS_MEP_PHU_TRO!L14</f>
        <v/>
      </c>
    </row>
    <row r="10">
      <c r="A10" s="20" t="inlineStr">
        <is>
          <t>I</t>
        </is>
      </c>
      <c r="B10" s="21" t="inlineStr">
        <is>
          <t>TỔNG CHI PHÍ TRỰC TIẾP TOÀN DỰ ÁN (T)</t>
        </is>
      </c>
      <c r="C10" s="21" t="inlineStr">
        <is>
          <t>T = T_1 + T_2 + T_3 + T_4</t>
        </is>
      </c>
      <c r="D10" s="20" t="inlineStr">
        <is>
          <t>T</t>
        </is>
      </c>
      <c r="E10" s="22">
        <f>E6+E7+E8+E9</f>
        <v/>
      </c>
    </row>
    <row r="11">
      <c r="A11" s="20" t="inlineStr">
        <is>
          <t>II</t>
        </is>
      </c>
      <c r="B11" s="21" t="inlineStr">
        <is>
          <t>CHI PHÍ GIÁN TIẾP (GT) - CHUẨN CÔNG TRÌNH DÂN DỤNG</t>
        </is>
      </c>
      <c r="C11" s="21" t="inlineStr">
        <is>
          <t>GT = T x 8.70%</t>
        </is>
      </c>
      <c r="D11" s="20" t="inlineStr">
        <is>
          <t>GT</t>
        </is>
      </c>
      <c r="E11" s="22">
        <f>E10*0.087</f>
        <v/>
      </c>
    </row>
    <row r="12">
      <c r="A12" s="4" t="inlineStr"/>
      <c r="B12" s="5" t="inlineStr">
        <is>
          <t xml:space="preserve">  - Chi phí chung</t>
        </is>
      </c>
      <c r="C12" s="5" t="inlineStr">
        <is>
          <t>6.5% x T (Công trình dân dụng TT 11/2021)</t>
        </is>
      </c>
      <c r="D12" s="4" t="inlineStr">
        <is>
          <t>T_chung</t>
        </is>
      </c>
      <c r="E12" s="6">
        <f>E10*0.065</f>
        <v/>
      </c>
    </row>
    <row r="13">
      <c r="A13" s="4" t="inlineStr"/>
      <c r="B13" s="5" t="inlineStr">
        <is>
          <t xml:space="preserve">  - Chi phí xây dựng nhà tạm để ở và điều hành thi công</t>
        </is>
      </c>
      <c r="C13" s="5" t="inlineStr">
        <is>
          <t>1.2% x T</t>
        </is>
      </c>
      <c r="D13" s="4" t="inlineStr">
        <is>
          <t>T_tam</t>
        </is>
      </c>
      <c r="E13" s="6">
        <f>E10*0.012</f>
        <v/>
      </c>
    </row>
    <row r="14">
      <c r="A14" s="4" t="inlineStr"/>
      <c r="B14" s="5" t="inlineStr">
        <is>
          <t xml:space="preserve">  - Chi phí một số công tác không xác định được KL từ TK</t>
        </is>
      </c>
      <c r="C14" s="5" t="inlineStr">
        <is>
          <t>1.0% x T</t>
        </is>
      </c>
      <c r="D14" s="4" t="inlineStr">
        <is>
          <t>T_kxd</t>
        </is>
      </c>
      <c r="E14" s="6">
        <f>E10*0.010</f>
        <v/>
      </c>
    </row>
    <row r="15">
      <c r="A15" s="20" t="inlineStr">
        <is>
          <t>III</t>
        </is>
      </c>
      <c r="B15" s="21" t="inlineStr">
        <is>
          <t>THU NHẬP CHỊU THUẾ TÍNH TRƯỚC (TL)</t>
        </is>
      </c>
      <c r="C15" s="21" t="inlineStr">
        <is>
          <t>TL = (T + GT) x 5.5%</t>
        </is>
      </c>
      <c r="D15" s="20" t="inlineStr">
        <is>
          <t>TL</t>
        </is>
      </c>
      <c r="E15" s="22">
        <f>(E10+E11)*0.055</f>
        <v/>
      </c>
    </row>
    <row r="16">
      <c r="A16" s="20" t="inlineStr">
        <is>
          <t>IV</t>
        </is>
      </c>
      <c r="B16" s="21" t="inlineStr">
        <is>
          <t>CHI PHÍ XÂY DỰNG TRƯỚC THUẾ (G)</t>
        </is>
      </c>
      <c r="C16" s="21" t="inlineStr">
        <is>
          <t>G = T + GT + TL</t>
        </is>
      </c>
      <c r="D16" s="20" t="inlineStr">
        <is>
          <t>G</t>
        </is>
      </c>
      <c r="E16" s="22">
        <f>E10+E11+E15</f>
        <v/>
      </c>
    </row>
    <row r="17">
      <c r="A17" s="20" t="inlineStr">
        <is>
          <t>V</t>
        </is>
      </c>
      <c r="B17" s="21" t="inlineStr">
        <is>
          <t>THUẾ GIÁ TRỊ GIA TĂNG (VAT)</t>
        </is>
      </c>
      <c r="C17" s="21" t="inlineStr">
        <is>
          <t>VAT = G x 8%</t>
        </is>
      </c>
      <c r="D17" s="20" t="inlineStr">
        <is>
          <t>VAT</t>
        </is>
      </c>
      <c r="E17" s="22">
        <f>E16*0.08</f>
        <v/>
      </c>
    </row>
    <row r="18">
      <c r="A18" s="23" t="inlineStr">
        <is>
          <t>VI</t>
        </is>
      </c>
      <c r="B18" s="24" t="inlineStr">
        <is>
          <t>TỔNG CỘNG CHI PHÍ XÂY DỰNG CÔNG TRÌNH (G_XD)</t>
        </is>
      </c>
      <c r="C18" s="24" t="inlineStr">
        <is>
          <t>G_XD = G + VAT</t>
        </is>
      </c>
      <c r="D18" s="23" t="inlineStr">
        <is>
          <t>G_XD</t>
        </is>
      </c>
      <c r="E18" s="25">
        <f>E16+E17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1" customWidth="1" min="2" max="2"/>
    <col width="46" customWidth="1" min="3" max="3"/>
    <col width="25" customWidth="1" min="4" max="4"/>
    <col width="11" customWidth="1" min="5" max="5"/>
    <col width="23" customWidth="1" min="6" max="6"/>
    <col width="17" customWidth="1" min="7" max="7"/>
    <col width="11" customWidth="1" min="8" max="8"/>
    <col width="23" customWidth="1" min="9" max="9"/>
    <col width="15" customWidth="1" min="10" max="10"/>
    <col width="16" customWidth="1" min="11" max="11"/>
    <col width="18" customWidth="1" min="12" max="12"/>
    <col width="18" customWidth="1" min="13" max="13"/>
  </cols>
  <sheetData>
    <row r="1"/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BẢNG TIẾN ĐỘ THI CÔNG CHI TIẾT &amp; ĐIỀU PHỐI TÀI NGUYÊN NHÂN LỰC (THÔNG TƯ 12/2021/TT-BXD)</t>
        </is>
      </c>
    </row>
    <row r="4"/>
    <row r="5" ht="30" customHeight="1">
      <c r="A5" s="3" t="inlineStr">
        <is>
          <t>ID</t>
        </is>
      </c>
      <c r="B5" s="3" t="inlineStr">
        <is>
          <t>WBS</t>
        </is>
      </c>
      <c r="C5" s="3" t="inlineStr">
        <is>
          <t>Tên công tác thi công</t>
        </is>
      </c>
      <c r="D5" s="3" t="inlineStr">
        <is>
          <t>Khối lượng</t>
        </is>
      </c>
      <c r="E5" s="3" t="inlineStr">
        <is>
          <t>ĐVT</t>
        </is>
      </c>
      <c r="F5" s="3" t="inlineStr">
        <is>
          <t>Định mức
nhân công (công/ĐVT)</t>
        </is>
      </c>
      <c r="G5" s="3" t="inlineStr">
        <is>
          <t>Tổng hao phí
(Công = KL*ĐM)</t>
        </is>
      </c>
      <c r="H5" s="3" t="inlineStr">
        <is>
          <t>Tổ đội
(Người)</t>
        </is>
      </c>
      <c r="I5" s="3" t="inlineStr">
        <is>
          <t>Thời gian
(Ngày = Công/Tổ)</t>
        </is>
      </c>
      <c r="J5" s="3" t="inlineStr">
        <is>
          <t>Ngày bắt đầu
(Start)</t>
        </is>
      </c>
      <c r="K5" s="3" t="inlineStr">
        <is>
          <t>Ngày kết thúc
(Finish)</t>
        </is>
      </c>
      <c r="L5" s="3" t="inlineStr">
        <is>
          <t>Công việc trước
(Predecessors)</t>
        </is>
      </c>
      <c r="M5" s="3" t="inlineStr">
        <is>
          <t>Đường găng
(Critical Path)</t>
        </is>
      </c>
    </row>
    <row r="6">
      <c r="A6" s="4" t="n">
        <v>1</v>
      </c>
      <c r="B6" s="4" t="inlineStr">
        <is>
          <t>1.0</t>
        </is>
      </c>
      <c r="C6" s="26" t="inlineStr">
        <is>
          <t>CHUẨN BỊ MẶT BẰNG &amp; ĐÀO MÓNG</t>
        </is>
      </c>
      <c r="D6" s="10" t="n"/>
      <c r="E6" s="10" t="n"/>
      <c r="F6" s="10" t="n"/>
      <c r="G6" s="10" t="n"/>
      <c r="H6" s="11" t="n"/>
      <c r="I6" s="5" t="inlineStr"/>
      <c r="J6" s="4" t="inlineStr">
        <is>
          <t>2026-10-01</t>
        </is>
      </c>
      <c r="K6" s="4" t="inlineStr">
        <is>
          <t>2026-10-14</t>
        </is>
      </c>
      <c r="L6" s="5" t="n"/>
      <c r="M6" s="4" t="inlineStr">
        <is>
          <t>SUM</t>
        </is>
      </c>
    </row>
    <row r="7">
      <c r="A7" s="4" t="n">
        <v>2</v>
      </c>
      <c r="B7" s="4" t="inlineStr">
        <is>
          <t>1.1</t>
        </is>
      </c>
      <c r="C7" s="5" t="inlineStr">
        <is>
          <t>Đào đất móng băng bằng máy kết hợp thủ công</t>
        </is>
      </c>
      <c r="D7" s="7">
        <f>QS_PHAN_NGAM_MONG!J7</f>
        <v/>
      </c>
      <c r="E7" s="4" t="inlineStr">
        <is>
          <t>m3</t>
        </is>
      </c>
      <c r="F7" s="7" t="n">
        <v>0.15</v>
      </c>
      <c r="G7" s="27">
        <f>D7*F7</f>
        <v/>
      </c>
      <c r="H7" s="6" t="n">
        <v>12</v>
      </c>
      <c r="I7" s="6">
        <f>ROUNDUP(G7/H7, 0)</f>
        <v/>
      </c>
      <c r="J7" s="4" t="inlineStr">
        <is>
          <t>2026-10-01</t>
        </is>
      </c>
      <c r="K7" s="4" t="inlineStr">
        <is>
          <t>2026-10-05</t>
        </is>
      </c>
      <c r="L7" s="4" t="inlineStr"/>
      <c r="M7" s="28" t="inlineStr">
        <is>
          <t>YES</t>
        </is>
      </c>
    </row>
    <row r="8">
      <c r="A8" s="4" t="n">
        <v>3</v>
      </c>
      <c r="B8" s="4" t="inlineStr">
        <is>
          <t>1.2</t>
        </is>
      </c>
      <c r="C8" s="5" t="inlineStr">
        <is>
          <t>Đệm đá dăm và đổ bê tông lót móng</t>
        </is>
      </c>
      <c r="D8" s="7">
        <f>QS_PHAN_NGAM_MONG!J11</f>
        <v/>
      </c>
      <c r="E8" s="4" t="inlineStr">
        <is>
          <t>m3</t>
        </is>
      </c>
      <c r="F8" s="7" t="n">
        <v>0.85</v>
      </c>
      <c r="G8" s="27">
        <f>D8*F8</f>
        <v/>
      </c>
      <c r="H8" s="6" t="n">
        <v>10</v>
      </c>
      <c r="I8" s="6">
        <f>ROUNDUP(G8/H8, 0)</f>
        <v/>
      </c>
      <c r="J8" s="4" t="inlineStr">
        <is>
          <t>2026-10-06</t>
        </is>
      </c>
      <c r="K8" s="4" t="inlineStr">
        <is>
          <t>2026-10-08</t>
        </is>
      </c>
      <c r="L8" s="4" t="inlineStr">
        <is>
          <t>2FS</t>
        </is>
      </c>
      <c r="M8" s="28" t="inlineStr">
        <is>
          <t>YES</t>
        </is>
      </c>
    </row>
    <row r="9">
      <c r="A9" s="4" t="n">
        <v>4</v>
      </c>
      <c r="B9" s="4" t="inlineStr">
        <is>
          <t>1.3</t>
        </is>
      </c>
      <c r="C9" s="5" t="inlineStr">
        <is>
          <t>Gia công lắp dựng cốt thép móng &amp; giằng móng</t>
        </is>
      </c>
      <c r="D9" s="7">
        <f>QS_PHAN_NGAM_MONG!J19</f>
        <v/>
      </c>
      <c r="E9" s="4" t="inlineStr">
        <is>
          <t>tấn</t>
        </is>
      </c>
      <c r="F9" s="7" t="n">
        <v>18.5</v>
      </c>
      <c r="G9" s="27">
        <f>D9*F9</f>
        <v/>
      </c>
      <c r="H9" s="6" t="n">
        <v>12</v>
      </c>
      <c r="I9" s="6">
        <f>ROUNDUP(G9/H9, 0)</f>
        <v/>
      </c>
      <c r="J9" s="4" t="inlineStr">
        <is>
          <t>2026-10-09</t>
        </is>
      </c>
      <c r="K9" s="4" t="inlineStr">
        <is>
          <t>2026-10-14</t>
        </is>
      </c>
      <c r="L9" s="4" t="inlineStr">
        <is>
          <t>3FS</t>
        </is>
      </c>
      <c r="M9" s="28" t="inlineStr">
        <is>
          <t>YES</t>
        </is>
      </c>
    </row>
    <row r="10">
      <c r="A10" s="4" t="n">
        <v>5</v>
      </c>
      <c r="B10" s="4" t="inlineStr">
        <is>
          <t>1.4</t>
        </is>
      </c>
      <c r="C10" s="5" t="inlineStr">
        <is>
          <t>Lắp dựng ván khuôn móng băng</t>
        </is>
      </c>
      <c r="D10" s="7">
        <f>QS_PHAN_NGAM_MONG!J17</f>
        <v/>
      </c>
      <c r="E10" s="4" t="inlineStr">
        <is>
          <t>m2</t>
        </is>
      </c>
      <c r="F10" s="7" t="n">
        <v>0.45</v>
      </c>
      <c r="G10" s="27">
        <f>D10*F10</f>
        <v/>
      </c>
      <c r="H10" s="6" t="n">
        <v>10</v>
      </c>
      <c r="I10" s="6">
        <f>ROUNDUP(G10/H10, 0)</f>
        <v/>
      </c>
      <c r="J10" s="4" t="inlineStr">
        <is>
          <t>2026-10-11</t>
        </is>
      </c>
      <c r="K10" s="4" t="inlineStr">
        <is>
          <t>2026-10-14</t>
        </is>
      </c>
      <c r="L10" s="4" t="inlineStr">
        <is>
          <t>4SS+2</t>
        </is>
      </c>
      <c r="M10" s="4" t="inlineStr">
        <is>
          <t>NO</t>
        </is>
      </c>
    </row>
    <row r="11">
      <c r="A11" s="4" t="n">
        <v>6</v>
      </c>
      <c r="B11" s="4" t="inlineStr">
        <is>
          <t>1.5</t>
        </is>
      </c>
      <c r="C11" s="5" t="inlineStr">
        <is>
          <t>Đổ bê tông móng băng mác 250 và bảo dưỡng</t>
        </is>
      </c>
      <c r="D11" s="7">
        <f>QS_PHAN_NGAM_MONG!J13</f>
        <v/>
      </c>
      <c r="E11" s="4" t="inlineStr">
        <is>
          <t>m3</t>
        </is>
      </c>
      <c r="F11" s="7" t="n">
        <v>0.95</v>
      </c>
      <c r="G11" s="27">
        <f>D11*F11</f>
        <v/>
      </c>
      <c r="H11" s="6" t="n">
        <v>16</v>
      </c>
      <c r="I11" s="6">
        <f>ROUNDUP(G11/H11, 0)</f>
        <v/>
      </c>
      <c r="J11" s="4" t="inlineStr">
        <is>
          <t>2026-10-15</t>
        </is>
      </c>
      <c r="K11" s="4" t="inlineStr">
        <is>
          <t>2026-10-16</t>
        </is>
      </c>
      <c r="L11" s="4" t="inlineStr">
        <is>
          <t>4FS, 5FS</t>
        </is>
      </c>
      <c r="M11" s="28" t="inlineStr">
        <is>
          <t>YES</t>
        </is>
      </c>
    </row>
    <row r="12">
      <c r="A12" s="4" t="n">
        <v>7</v>
      </c>
      <c r="B12" s="4" t="inlineStr">
        <is>
          <t>2.0</t>
        </is>
      </c>
      <c r="C12" s="26" t="inlineStr">
        <is>
          <t>KẾT CẤU KHUNG BTCT TẦNG 1</t>
        </is>
      </c>
      <c r="D12" s="10" t="n"/>
      <c r="E12" s="10" t="n"/>
      <c r="F12" s="10" t="n"/>
      <c r="G12" s="10" t="n"/>
      <c r="H12" s="11" t="n"/>
      <c r="I12" s="5" t="inlineStr"/>
      <c r="J12" s="4" t="inlineStr">
        <is>
          <t>2026-10-17</t>
        </is>
      </c>
      <c r="K12" s="4" t="inlineStr">
        <is>
          <t>2026-11-05</t>
        </is>
      </c>
      <c r="L12" s="5" t="n"/>
      <c r="M12" s="4" t="inlineStr">
        <is>
          <t>SUM</t>
        </is>
      </c>
    </row>
    <row r="13">
      <c r="A13" s="4" t="n">
        <v>8</v>
      </c>
      <c r="B13" s="4" t="inlineStr">
        <is>
          <t>2.1</t>
        </is>
      </c>
      <c r="C13" s="5" t="inlineStr">
        <is>
          <t>Cốt thép và ván khuôn cột tầng 1</t>
        </is>
      </c>
      <c r="D13" s="7">
        <f>QS_KET_CAU_THAN!J11</f>
        <v/>
      </c>
      <c r="E13" s="4" t="inlineStr">
        <is>
          <t>m2</t>
        </is>
      </c>
      <c r="F13" s="7" t="n">
        <v>0.55</v>
      </c>
      <c r="G13" s="27">
        <f>D13*F13</f>
        <v/>
      </c>
      <c r="H13" s="6" t="n">
        <v>12</v>
      </c>
      <c r="I13" s="6">
        <f>ROUNDUP(G13/H13, 0)</f>
        <v/>
      </c>
      <c r="J13" s="4" t="inlineStr">
        <is>
          <t>2026-10-17</t>
        </is>
      </c>
      <c r="K13" s="4" t="inlineStr">
        <is>
          <t>2026-10-21</t>
        </is>
      </c>
      <c r="L13" s="4" t="inlineStr">
        <is>
          <t>6FS</t>
        </is>
      </c>
      <c r="M13" s="28" t="inlineStr">
        <is>
          <t>YES</t>
        </is>
      </c>
    </row>
    <row r="14">
      <c r="A14" s="4" t="n">
        <v>9</v>
      </c>
      <c r="B14" s="4" t="inlineStr">
        <is>
          <t>2.2</t>
        </is>
      </c>
      <c r="C14" s="5" t="inlineStr">
        <is>
          <t>Đổ bê tông cột tầng 1</t>
        </is>
      </c>
      <c r="D14" s="7">
        <f>QS_KET_CAU_THAN!J7</f>
        <v/>
      </c>
      <c r="E14" s="4" t="inlineStr">
        <is>
          <t>m3</t>
        </is>
      </c>
      <c r="F14" s="7" t="n">
        <v>1.2</v>
      </c>
      <c r="G14" s="27">
        <f>D14*F14</f>
        <v/>
      </c>
      <c r="H14" s="6" t="n">
        <v>10</v>
      </c>
      <c r="I14" s="6">
        <f>ROUNDUP(G14/H14, 0)</f>
        <v/>
      </c>
      <c r="J14" s="4" t="inlineStr">
        <is>
          <t>2026-10-22</t>
        </is>
      </c>
      <c r="K14" s="4" t="inlineStr">
        <is>
          <t>2026-10-23</t>
        </is>
      </c>
      <c r="L14" s="4" t="inlineStr">
        <is>
          <t>8FS</t>
        </is>
      </c>
      <c r="M14" s="28" t="inlineStr">
        <is>
          <t>YES</t>
        </is>
      </c>
    </row>
    <row r="15">
      <c r="A15" s="4" t="n">
        <v>10</v>
      </c>
      <c r="B15" s="4" t="inlineStr">
        <is>
          <t>2.3</t>
        </is>
      </c>
      <c r="C15" s="5" t="inlineStr">
        <is>
          <t>Lắp dựng giáo nêm, ván khuôn dầm sàn tầng 2</t>
        </is>
      </c>
      <c r="D15" s="7">
        <f>QS_KET_CAU_THAN!J22</f>
        <v/>
      </c>
      <c r="E15" s="4" t="inlineStr">
        <is>
          <t>m2</t>
        </is>
      </c>
      <c r="F15" s="7" t="n">
        <v>0.5</v>
      </c>
      <c r="G15" s="27">
        <f>D15*F15</f>
        <v/>
      </c>
      <c r="H15" s="6" t="n">
        <v>16</v>
      </c>
      <c r="I15" s="6">
        <f>ROUNDUP(G15/H15, 0)</f>
        <v/>
      </c>
      <c r="J15" s="4" t="inlineStr">
        <is>
          <t>2026-10-24</t>
        </is>
      </c>
      <c r="K15" s="4" t="inlineStr">
        <is>
          <t>2026-10-30</t>
        </is>
      </c>
      <c r="L15" s="4" t="inlineStr">
        <is>
          <t>9FS</t>
        </is>
      </c>
      <c r="M15" s="28" t="inlineStr">
        <is>
          <t>YES</t>
        </is>
      </c>
    </row>
    <row r="16">
      <c r="A16" s="4" t="n">
        <v>11</v>
      </c>
      <c r="B16" s="4" t="inlineStr">
        <is>
          <t>2.4</t>
        </is>
      </c>
      <c r="C16" s="5" t="inlineStr">
        <is>
          <t>Gia công lắp đặt cốt thép dầm sàn tầng 2</t>
        </is>
      </c>
      <c r="D16" s="7" t="n">
        <v>8.199999999999999</v>
      </c>
      <c r="E16" s="4" t="inlineStr">
        <is>
          <t>tấn</t>
        </is>
      </c>
      <c r="F16" s="7" t="n">
        <v>19</v>
      </c>
      <c r="G16" s="27">
        <f>D16*F16</f>
        <v/>
      </c>
      <c r="H16" s="6" t="n">
        <v>14</v>
      </c>
      <c r="I16" s="6">
        <f>ROUNDUP(G16/H16, 0)</f>
        <v/>
      </c>
      <c r="J16" s="4" t="inlineStr">
        <is>
          <t>2026-10-27</t>
        </is>
      </c>
      <c r="K16" s="4" t="inlineStr">
        <is>
          <t>2026-11-01</t>
        </is>
      </c>
      <c r="L16" s="4" t="inlineStr">
        <is>
          <t>10SS+3</t>
        </is>
      </c>
      <c r="M16" s="28" t="inlineStr">
        <is>
          <t>YES</t>
        </is>
      </c>
    </row>
    <row r="17">
      <c r="A17" s="4" t="n">
        <v>12</v>
      </c>
      <c r="B17" s="4" t="inlineStr">
        <is>
          <t>2.5</t>
        </is>
      </c>
      <c r="C17" s="5" t="inlineStr">
        <is>
          <t>Đổ bê tông dầm sàn tầng 2 (bảo dưỡng ẩm R7)</t>
        </is>
      </c>
      <c r="D17" s="7">
        <f>QS_KET_CAU_THAN!J14</f>
        <v/>
      </c>
      <c r="E17" s="4" t="inlineStr">
        <is>
          <t>m3</t>
        </is>
      </c>
      <c r="F17" s="7" t="n">
        <v>0.9</v>
      </c>
      <c r="G17" s="27">
        <f>D17*F17</f>
        <v/>
      </c>
      <c r="H17" s="6" t="n">
        <v>18</v>
      </c>
      <c r="I17" s="6">
        <f>ROUNDUP(G17/H17, 0)</f>
        <v/>
      </c>
      <c r="J17" s="4" t="inlineStr">
        <is>
          <t>2026-11-02</t>
        </is>
      </c>
      <c r="K17" s="4" t="inlineStr">
        <is>
          <t>2026-11-03</t>
        </is>
      </c>
      <c r="L17" s="4" t="inlineStr">
        <is>
          <t>11FS</t>
        </is>
      </c>
      <c r="M17" s="28" t="inlineStr">
        <is>
          <t>YES</t>
        </is>
      </c>
    </row>
    <row r="18">
      <c r="A18" s="4" t="n">
        <v>13</v>
      </c>
      <c r="B18" s="4" t="inlineStr">
        <is>
          <t>3.0</t>
        </is>
      </c>
      <c r="C18" s="26" t="inlineStr">
        <is>
          <t>KẾT CẤU KHUNG BTCT TẦNG 2 &amp; TẦNG 3</t>
        </is>
      </c>
      <c r="D18" s="10" t="n"/>
      <c r="E18" s="10" t="n"/>
      <c r="F18" s="10" t="n"/>
      <c r="G18" s="10" t="n"/>
      <c r="H18" s="11" t="n"/>
      <c r="I18" s="5" t="inlineStr"/>
      <c r="J18" s="4" t="inlineStr">
        <is>
          <t>2026-11-04</t>
        </is>
      </c>
      <c r="K18" s="4" t="inlineStr">
        <is>
          <t>2026-12-15</t>
        </is>
      </c>
      <c r="L18" s="5" t="n"/>
      <c r="M18" s="4" t="inlineStr">
        <is>
          <t>SUM</t>
        </is>
      </c>
    </row>
    <row r="19">
      <c r="A19" s="4" t="n">
        <v>14</v>
      </c>
      <c r="B19" s="4" t="inlineStr">
        <is>
          <t>3.1</t>
        </is>
      </c>
      <c r="C19" s="5" t="inlineStr">
        <is>
          <t>Cột, ván khuôn và bê tông cột tầng 2</t>
        </is>
      </c>
      <c r="D19" s="7" t="n">
        <v>6.8</v>
      </c>
      <c r="E19" s="4" t="inlineStr">
        <is>
          <t>m3</t>
        </is>
      </c>
      <c r="F19" s="7" t="n">
        <v>1.2</v>
      </c>
      <c r="G19" s="27">
        <f>D19*F19</f>
        <v/>
      </c>
      <c r="H19" s="6" t="n">
        <v>12</v>
      </c>
      <c r="I19" s="6">
        <f>ROUNDUP(G19/H19, 0)</f>
        <v/>
      </c>
      <c r="J19" s="4" t="inlineStr">
        <is>
          <t>2026-11-04</t>
        </is>
      </c>
      <c r="K19" s="4" t="inlineStr">
        <is>
          <t>2026-11-07</t>
        </is>
      </c>
      <c r="L19" s="4" t="inlineStr">
        <is>
          <t>12FS</t>
        </is>
      </c>
      <c r="M19" s="28" t="inlineStr">
        <is>
          <t>YES</t>
        </is>
      </c>
    </row>
    <row r="20">
      <c r="A20" s="4" t="n">
        <v>15</v>
      </c>
      <c r="B20" s="4" t="inlineStr">
        <is>
          <t>3.2</t>
        </is>
      </c>
      <c r="C20" s="5" t="inlineStr">
        <is>
          <t>Ván khuôn và cốt thép dầm sàn tầng 3</t>
        </is>
      </c>
      <c r="D20" s="7" t="n">
        <v>8.199999999999999</v>
      </c>
      <c r="E20" s="4" t="inlineStr">
        <is>
          <t>tấn</t>
        </is>
      </c>
      <c r="F20" s="7" t="n">
        <v>19</v>
      </c>
      <c r="G20" s="27">
        <f>D20*F20</f>
        <v/>
      </c>
      <c r="H20" s="6" t="n">
        <v>16</v>
      </c>
      <c r="I20" s="6">
        <f>ROUNDUP(G20/H20, 0)</f>
        <v/>
      </c>
      <c r="J20" s="4" t="inlineStr">
        <is>
          <t>2026-11-08</t>
        </is>
      </c>
      <c r="K20" s="4" t="inlineStr">
        <is>
          <t>2026-11-15</t>
        </is>
      </c>
      <c r="L20" s="4" t="inlineStr">
        <is>
          <t>14FS</t>
        </is>
      </c>
      <c r="M20" s="28" t="inlineStr">
        <is>
          <t>YES</t>
        </is>
      </c>
    </row>
    <row r="21">
      <c r="A21" s="4" t="n">
        <v>16</v>
      </c>
      <c r="B21" s="4" t="inlineStr">
        <is>
          <t>3.3</t>
        </is>
      </c>
      <c r="C21" s="5" t="inlineStr">
        <is>
          <t>Đổ bê tông dầm sàn tầng 3</t>
        </is>
      </c>
      <c r="D21" s="7">
        <f>QS_KET_CAU_THAN!J17</f>
        <v/>
      </c>
      <c r="E21" s="4" t="inlineStr">
        <is>
          <t>m3</t>
        </is>
      </c>
      <c r="F21" s="7" t="n">
        <v>0.9</v>
      </c>
      <c r="G21" s="27">
        <f>D21*F21</f>
        <v/>
      </c>
      <c r="H21" s="6" t="n">
        <v>18</v>
      </c>
      <c r="I21" s="6">
        <f>ROUNDUP(G21/H21, 0)</f>
        <v/>
      </c>
      <c r="J21" s="4" t="inlineStr">
        <is>
          <t>2026-11-16</t>
        </is>
      </c>
      <c r="K21" s="4" t="inlineStr">
        <is>
          <t>2026-11-17</t>
        </is>
      </c>
      <c r="L21" s="4" t="inlineStr">
        <is>
          <t>15FS</t>
        </is>
      </c>
      <c r="M21" s="28" t="inlineStr">
        <is>
          <t>YES</t>
        </is>
      </c>
    </row>
    <row r="22">
      <c r="A22" s="4" t="n">
        <v>17</v>
      </c>
      <c r="B22" s="4" t="inlineStr">
        <is>
          <t>3.4</t>
        </is>
      </c>
      <c r="C22" s="5" t="inlineStr">
        <is>
          <t>Cột, dầm sàn mái và tum thang</t>
        </is>
      </c>
      <c r="D22" s="7" t="n">
        <v>9.5</v>
      </c>
      <c r="E22" s="4" t="inlineStr">
        <is>
          <t>m3</t>
        </is>
      </c>
      <c r="F22" s="7" t="n">
        <v>1.1</v>
      </c>
      <c r="G22" s="27">
        <f>D22*F22</f>
        <v/>
      </c>
      <c r="H22" s="6" t="n">
        <v>16</v>
      </c>
      <c r="I22" s="6">
        <f>ROUNDUP(G22/H22, 0)</f>
        <v/>
      </c>
      <c r="J22" s="4" t="inlineStr">
        <is>
          <t>2026-11-18</t>
        </is>
      </c>
      <c r="K22" s="4" t="inlineStr">
        <is>
          <t>2026-11-30</t>
        </is>
      </c>
      <c r="L22" s="4" t="inlineStr">
        <is>
          <t>16FS</t>
        </is>
      </c>
      <c r="M22" s="28" t="inlineStr">
        <is>
          <t>YES</t>
        </is>
      </c>
    </row>
    <row r="23">
      <c r="A23" s="4" t="n">
        <v>18</v>
      </c>
      <c r="B23" s="4" t="inlineStr">
        <is>
          <t>4.0</t>
        </is>
      </c>
      <c r="C23" s="26" t="inlineStr">
        <is>
          <t>HOÀN THIỆN KIẾN TRÚC &amp; MEP</t>
        </is>
      </c>
      <c r="D23" s="10" t="n"/>
      <c r="E23" s="10" t="n"/>
      <c r="F23" s="10" t="n"/>
      <c r="G23" s="10" t="n"/>
      <c r="H23" s="11" t="n"/>
      <c r="I23" s="5" t="inlineStr"/>
      <c r="J23" s="4" t="inlineStr">
        <is>
          <t>2026-12-01</t>
        </is>
      </c>
      <c r="K23" s="4" t="inlineStr">
        <is>
          <t>2027-02-15</t>
        </is>
      </c>
      <c r="L23" s="5" t="n"/>
      <c r="M23" s="4" t="inlineStr">
        <is>
          <t>SUM</t>
        </is>
      </c>
    </row>
    <row r="24">
      <c r="A24" s="4" t="n">
        <v>19</v>
      </c>
      <c r="B24" s="4" t="inlineStr">
        <is>
          <t>4.1</t>
        </is>
      </c>
      <c r="C24" s="5" t="inlineStr">
        <is>
          <t>Lắp dựng giàn giáo bao che ngoài nhà</t>
        </is>
      </c>
      <c r="D24" s="7">
        <f>QS_MEP_PHU_TRO!J14</f>
        <v/>
      </c>
      <c r="E24" s="4" t="inlineStr">
        <is>
          <t>m2</t>
        </is>
      </c>
      <c r="F24" s="7" t="n">
        <v>0.12</v>
      </c>
      <c r="G24" s="27">
        <f>D24*F24</f>
        <v/>
      </c>
      <c r="H24" s="6" t="n">
        <v>10</v>
      </c>
      <c r="I24" s="6">
        <f>ROUNDUP(G24/H24, 0)</f>
        <v/>
      </c>
      <c r="J24" s="4" t="inlineStr">
        <is>
          <t>2026-12-01</t>
        </is>
      </c>
      <c r="K24" s="4" t="inlineStr">
        <is>
          <t>2026-12-06</t>
        </is>
      </c>
      <c r="L24" s="4" t="inlineStr">
        <is>
          <t>17FS</t>
        </is>
      </c>
      <c r="M24" s="4" t="inlineStr">
        <is>
          <t>NO</t>
        </is>
      </c>
    </row>
    <row r="25">
      <c r="A25" s="4" t="n">
        <v>20</v>
      </c>
      <c r="B25" s="4" t="inlineStr">
        <is>
          <t>4.2</t>
        </is>
      </c>
      <c r="C25" s="5" t="inlineStr">
        <is>
          <t>Xây tường bao 220mm và tường ngăn 110mm</t>
        </is>
      </c>
      <c r="D25" s="7">
        <f>QS_HOAN_THIEN!J7</f>
        <v/>
      </c>
      <c r="E25" s="4" t="inlineStr">
        <is>
          <t>m3</t>
        </is>
      </c>
      <c r="F25" s="7" t="n">
        <v>2.2</v>
      </c>
      <c r="G25" s="27">
        <f>D25*F25</f>
        <v/>
      </c>
      <c r="H25" s="6" t="n">
        <v>20</v>
      </c>
      <c r="I25" s="6">
        <f>ROUNDUP(G25/H25, 0)</f>
        <v/>
      </c>
      <c r="J25" s="4" t="inlineStr">
        <is>
          <t>2026-12-02</t>
        </is>
      </c>
      <c r="K25" s="4" t="inlineStr">
        <is>
          <t>2026-12-20</t>
        </is>
      </c>
      <c r="L25" s="4" t="inlineStr">
        <is>
          <t>17FS</t>
        </is>
      </c>
      <c r="M25" s="28" t="inlineStr">
        <is>
          <t>YES</t>
        </is>
      </c>
    </row>
    <row r="26">
      <c r="A26" s="4" t="n">
        <v>21</v>
      </c>
      <c r="B26" s="4" t="inlineStr">
        <is>
          <t>4.3</t>
        </is>
      </c>
      <c r="C26" s="5" t="inlineStr">
        <is>
          <t>Lắp đặt đường ống cấp thoát nước &amp; luồn ống điện</t>
        </is>
      </c>
      <c r="D26" s="7" t="n">
        <v>1</v>
      </c>
      <c r="E26" s="4" t="inlineStr">
        <is>
          <t>hệ</t>
        </is>
      </c>
      <c r="F26" s="7" t="n">
        <v>150</v>
      </c>
      <c r="G26" s="27">
        <f>D26*F26</f>
        <v/>
      </c>
      <c r="H26" s="6" t="n">
        <v>8</v>
      </c>
      <c r="I26" s="6">
        <f>ROUNDUP(G26/H26, 0)</f>
        <v/>
      </c>
      <c r="J26" s="4" t="inlineStr">
        <is>
          <t>2026-12-10</t>
        </is>
      </c>
      <c r="K26" s="4" t="inlineStr">
        <is>
          <t>2026-12-25</t>
        </is>
      </c>
      <c r="L26" s="4" t="inlineStr">
        <is>
          <t>20SS+8</t>
        </is>
      </c>
      <c r="M26" s="4" t="inlineStr">
        <is>
          <t>NO</t>
        </is>
      </c>
    </row>
    <row r="27">
      <c r="A27" s="4" t="n">
        <v>22</v>
      </c>
      <c r="B27" s="4" t="inlineStr">
        <is>
          <t>4.4</t>
        </is>
      </c>
      <c r="C27" s="5" t="inlineStr">
        <is>
          <t>Trát tường trong và trát ngoài nhà</t>
        </is>
      </c>
      <c r="D27" s="7">
        <f>QS_HOAN_THIEN!J16</f>
        <v/>
      </c>
      <c r="E27" s="4" t="inlineStr">
        <is>
          <t>m2</t>
        </is>
      </c>
      <c r="F27" s="7" t="n">
        <v>0.28</v>
      </c>
      <c r="G27" s="27">
        <f>D27*F27</f>
        <v/>
      </c>
      <c r="H27" s="6" t="n">
        <v>20</v>
      </c>
      <c r="I27" s="6">
        <f>ROUNDUP(G27/H27, 0)</f>
        <v/>
      </c>
      <c r="J27" s="4" t="inlineStr">
        <is>
          <t>2026-12-21</t>
        </is>
      </c>
      <c r="K27" s="4" t="inlineStr">
        <is>
          <t>2027-01-08</t>
        </is>
      </c>
      <c r="L27" s="4" t="inlineStr">
        <is>
          <t>20FS</t>
        </is>
      </c>
      <c r="M27" s="28" t="inlineStr">
        <is>
          <t>YES</t>
        </is>
      </c>
    </row>
    <row r="28">
      <c r="A28" s="4" t="n">
        <v>23</v>
      </c>
      <c r="B28" s="4" t="inlineStr">
        <is>
          <t>4.5</t>
        </is>
      </c>
      <c r="C28" s="5" t="inlineStr">
        <is>
          <t>Chống thấm vệ sinh, ốp lát gạch nền &amp; tường</t>
        </is>
      </c>
      <c r="D28" s="7">
        <f>QS_HOAN_THIEN!J21</f>
        <v/>
      </c>
      <c r="E28" s="4" t="inlineStr">
        <is>
          <t>m2</t>
        </is>
      </c>
      <c r="F28" s="7" t="n">
        <v>0.42</v>
      </c>
      <c r="G28" s="27">
        <f>D28*F28</f>
        <v/>
      </c>
      <c r="H28" s="6" t="n">
        <v>14</v>
      </c>
      <c r="I28" s="6">
        <f>ROUNDUP(G28/H28, 0)</f>
        <v/>
      </c>
      <c r="J28" s="4" t="inlineStr">
        <is>
          <t>2027-01-09</t>
        </is>
      </c>
      <c r="K28" s="4" t="inlineStr">
        <is>
          <t>2027-01-24</t>
        </is>
      </c>
      <c r="L28" s="4" t="inlineStr">
        <is>
          <t>22FS</t>
        </is>
      </c>
      <c r="M28" s="28" t="inlineStr">
        <is>
          <t>YES</t>
        </is>
      </c>
    </row>
    <row r="29">
      <c r="A29" s="4" t="n">
        <v>24</v>
      </c>
      <c r="B29" s="4" t="inlineStr">
        <is>
          <t>4.6</t>
        </is>
      </c>
      <c r="C29" s="5" t="inlineStr">
        <is>
          <t>Trần thạch cao, sơn bả matit 3 nước và cửa nhôm kính</t>
        </is>
      </c>
      <c r="D29" s="7">
        <f>QS_HOAN_THIEN!J25</f>
        <v/>
      </c>
      <c r="E29" s="4" t="inlineStr">
        <is>
          <t>m2</t>
        </is>
      </c>
      <c r="F29" s="7" t="n">
        <v>0.25</v>
      </c>
      <c r="G29" s="27">
        <f>D29*F29</f>
        <v/>
      </c>
      <c r="H29" s="6" t="n">
        <v>16</v>
      </c>
      <c r="I29" s="6">
        <f>ROUNDUP(G29/H29, 0)</f>
        <v/>
      </c>
      <c r="J29" s="4" t="inlineStr">
        <is>
          <t>2027-01-20</t>
        </is>
      </c>
      <c r="K29" s="4" t="inlineStr">
        <is>
          <t>2027-02-05</t>
        </is>
      </c>
      <c r="L29" s="4" t="inlineStr">
        <is>
          <t>23SS+10</t>
        </is>
      </c>
      <c r="M29" s="28" t="inlineStr">
        <is>
          <t>YES</t>
        </is>
      </c>
    </row>
    <row r="30">
      <c r="A30" s="4" t="n">
        <v>25</v>
      </c>
      <c r="B30" s="4" t="inlineStr">
        <is>
          <t>4.7</t>
        </is>
      </c>
      <c r="C30" s="5" t="inlineStr">
        <is>
          <t>Lắp đặt thiết bị vệ sinh, đèn chiếu sáng &amp; dọn vệ sinh</t>
        </is>
      </c>
      <c r="D30" s="7" t="n">
        <v>1</v>
      </c>
      <c r="E30" s="4" t="inlineStr">
        <is>
          <t>gói</t>
        </is>
      </c>
      <c r="F30" s="7" t="n">
        <v>80</v>
      </c>
      <c r="G30" s="27">
        <f>D30*F30</f>
        <v/>
      </c>
      <c r="H30" s="6" t="n">
        <v>10</v>
      </c>
      <c r="I30" s="6">
        <f>ROUNDUP(G30/H30, 0)</f>
        <v/>
      </c>
      <c r="J30" s="4" t="inlineStr">
        <is>
          <t>2027-02-06</t>
        </is>
      </c>
      <c r="K30" s="4" t="inlineStr">
        <is>
          <t>2027-02-14</t>
        </is>
      </c>
      <c r="L30" s="4" t="inlineStr">
        <is>
          <t>24FS</t>
        </is>
      </c>
      <c r="M30" s="28" t="inlineStr">
        <is>
          <t>YES</t>
        </is>
      </c>
    </row>
    <row r="31">
      <c r="A31" s="4" t="n">
        <v>26</v>
      </c>
      <c r="B31" s="4" t="inlineStr">
        <is>
          <t>4.8</t>
        </is>
      </c>
      <c r="C31" s="5" t="inlineStr">
        <is>
          <t>Nghiệm thu hoàn thành đưa vào sử dụng</t>
        </is>
      </c>
      <c r="D31" s="7" t="n">
        <v>1</v>
      </c>
      <c r="E31" s="4" t="inlineStr">
        <is>
          <t>CT</t>
        </is>
      </c>
      <c r="F31" s="7" t="n">
        <v>0</v>
      </c>
      <c r="G31" s="27">
        <f>D31*F31</f>
        <v/>
      </c>
      <c r="H31" s="6" t="n">
        <v>0</v>
      </c>
      <c r="I31" s="6">
        <f>ROUNDUP(G31/H31, 0)</f>
        <v/>
      </c>
      <c r="J31" s="4" t="inlineStr">
        <is>
          <t>2027-02-15</t>
        </is>
      </c>
      <c r="K31" s="4" t="inlineStr">
        <is>
          <t>2027-02-15</t>
        </is>
      </c>
      <c r="L31" s="4" t="inlineStr">
        <is>
          <t>25FS</t>
        </is>
      </c>
      <c r="M31" s="28" t="inlineStr">
        <is>
          <t>YES</t>
        </is>
      </c>
    </row>
  </sheetData>
  <mergeCells count="4">
    <mergeCell ref="C12:H12"/>
    <mergeCell ref="C6:H6"/>
    <mergeCell ref="C18:H18"/>
    <mergeCell ref="C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6" customWidth="1" min="2" max="2"/>
    <col width="48" customWidth="1" min="3" max="3"/>
    <col width="25" customWidth="1" min="4" max="4"/>
    <col width="13" customWidth="1" min="5" max="5"/>
    <col width="41" customWidth="1" min="6" max="6"/>
    <col width="45" customWidth="1" min="7" max="7"/>
  </cols>
  <sheetData>
    <row r="1"/>
    <row r="2">
      <c r="B2" s="1" t="inlineStr">
        <is>
          <t>DỰ ÁN: TÒA NHÀ TRUNG TÂM ĐIỀU HÀNH &amp; VĂN PHÒNG LÀM VIỆC DÂN DỤNG (3 TẦNG + 1 TUM)</t>
        </is>
      </c>
    </row>
    <row r="3">
      <c r="B3" s="2" t="inlineStr">
        <is>
          <t>DANH MỤC HỒ SƠ QUẢN LÝ CHẤT LƯỢNG &amp; BIÊN BẢN NGHIỆM THU KCS (LUẬT XD 135/2025/QH15)</t>
        </is>
      </c>
    </row>
    <row r="4"/>
    <row r="5" ht="30" customHeight="1">
      <c r="A5" s="3" t="inlineStr">
        <is>
          <t>STT</t>
        </is>
      </c>
      <c r="B5" s="3" t="inlineStr">
        <is>
          <t>Số hiệu biên bản</t>
        </is>
      </c>
      <c r="C5" s="3" t="inlineStr">
        <is>
          <t>Tên công việc / Giai đoạn nghiệm thu</t>
        </is>
      </c>
      <c r="D5" s="3" t="inlineStr">
        <is>
          <t>Khối lượng
nghiệm thu</t>
        </is>
      </c>
      <c r="E5" s="3" t="inlineStr">
        <is>
          <t>ĐVT</t>
        </is>
      </c>
      <c r="F5" s="3" t="inlineStr">
        <is>
          <t>Căn cứ quy chuẩn / Tiêu chuẩn kỹ thuật</t>
        </is>
      </c>
      <c r="G5" s="3" t="inlineStr">
        <is>
          <t>Chỉ tiêu thí nghiệm / Kiểm tra KCS</t>
        </is>
      </c>
    </row>
    <row r="6">
      <c r="A6" s="4" t="n">
        <v>1</v>
      </c>
      <c r="B6" s="4" t="inlineStr">
        <is>
          <t>BBNT-01</t>
        </is>
      </c>
      <c r="C6" s="5" t="inlineStr">
        <is>
          <t>Bàn giao tim mốc định vị công trình, cao độ chuẩn và mặt bằng</t>
        </is>
      </c>
      <c r="D6" s="16" t="n">
        <v>1</v>
      </c>
      <c r="E6" s="4" t="inlineStr">
        <is>
          <t>Điểm</t>
        </is>
      </c>
      <c r="F6" s="4" t="inlineStr">
        <is>
          <t>TCVN 9393:2012</t>
        </is>
      </c>
      <c r="G6" s="5" t="inlineStr">
        <is>
          <t>Sai số định vị tim trục &lt;= 3mm, cao độ &lt;= 2mm</t>
        </is>
      </c>
    </row>
    <row r="7">
      <c r="A7" s="4" t="n">
        <v>2</v>
      </c>
      <c r="B7" s="4" t="inlineStr">
        <is>
          <t>BBNT-02</t>
        </is>
      </c>
      <c r="C7" s="5" t="inlineStr">
        <is>
          <t>Kiểm tra chất lượng vật liệu đầu vào (Xi măng, Cát, Đá, Thép)</t>
        </is>
      </c>
      <c r="D7" s="16" t="n">
        <v>1</v>
      </c>
      <c r="E7" s="4" t="inlineStr">
        <is>
          <t>Lô</t>
        </is>
      </c>
      <c r="F7" s="4" t="inlineStr">
        <is>
          <t>TCVN 1651:2018</t>
        </is>
      </c>
      <c r="G7" s="5" t="inlineStr">
        <is>
          <t>Chứng chỉ CO/CQ, kéo uốn thép, nén dập đá dăm</t>
        </is>
      </c>
    </row>
    <row r="8">
      <c r="A8" s="4" t="n">
        <v>3</v>
      </c>
      <c r="B8" s="4" t="inlineStr">
        <is>
          <t>BBNT-03</t>
        </is>
      </c>
      <c r="C8" s="5" t="inlineStr">
        <is>
          <t>Nghiệm thu hố móng băng trục dọc A, B và trục ngang 1-5</t>
        </is>
      </c>
      <c r="D8" s="15">
        <f>QS_PHAN_NGAM_MONG!J7</f>
        <v/>
      </c>
      <c r="E8" s="4" t="inlineStr">
        <is>
          <t>m3</t>
        </is>
      </c>
      <c r="F8" s="4" t="inlineStr">
        <is>
          <t>TCVN 4447:2012</t>
        </is>
      </c>
      <c r="G8" s="5" t="inlineStr">
        <is>
          <t>Kích thước hình học, dọn sạch bùn rác, cao độ đáy móng</t>
        </is>
      </c>
    </row>
    <row r="9">
      <c r="A9" s="4" t="n">
        <v>4</v>
      </c>
      <c r="B9" s="4" t="inlineStr">
        <is>
          <t>BBNT-04</t>
        </is>
      </c>
      <c r="C9" s="5" t="inlineStr">
        <is>
          <t>Nghiệm thu đệm đá dăm và bê tông lót móng băng dày 10cm</t>
        </is>
      </c>
      <c r="D9" s="15">
        <f>QS_PHAN_NGAM_MONG!J11</f>
        <v/>
      </c>
      <c r="E9" s="4" t="inlineStr">
        <is>
          <t>m3</t>
        </is>
      </c>
      <c r="F9" s="4" t="inlineStr">
        <is>
          <t>TCVN 4453:1995</t>
        </is>
      </c>
      <c r="G9" s="5" t="inlineStr">
        <is>
          <t>Độ dày &gt;= 100mm, độ phẳng đáy lớp đệm</t>
        </is>
      </c>
    </row>
    <row r="10">
      <c r="A10" s="4" t="n">
        <v>5</v>
      </c>
      <c r="B10" s="4" t="inlineStr">
        <is>
          <t>BBNT-05</t>
        </is>
      </c>
      <c r="C10" s="5" t="inlineStr">
        <is>
          <t>Nghiệm thu ván khuôn, cốt thép móng băng và giằng móng</t>
        </is>
      </c>
      <c r="D10" s="15">
        <f>QS_PHAN_NGAM_MONG!J19</f>
        <v/>
      </c>
      <c r="E10" s="4" t="inlineStr">
        <is>
          <t>tấn</t>
        </is>
      </c>
      <c r="F10" s="4" t="inlineStr">
        <is>
          <t>TCVN 4453:1995</t>
        </is>
      </c>
      <c r="G10" s="5" t="inlineStr">
        <is>
          <t>Khoảng cách cốt thép +-10mm, chiều dày bảo vệ 35mm</t>
        </is>
      </c>
    </row>
    <row r="11">
      <c r="A11" s="4" t="n">
        <v>6</v>
      </c>
      <c r="B11" s="4" t="inlineStr">
        <is>
          <t>BBNT-06</t>
        </is>
      </c>
      <c r="C11" s="5" t="inlineStr">
        <is>
          <t>Nghiệm thu đổ bê tông móng băng mác 250 và đúc mẫu</t>
        </is>
      </c>
      <c r="D11" s="15">
        <f>QS_PHAN_NGAM_MONG!J13</f>
        <v/>
      </c>
      <c r="E11" s="4" t="inlineStr">
        <is>
          <t>m3</t>
        </is>
      </c>
      <c r="F11" s="4" t="inlineStr">
        <is>
          <t>TCVN 3105:2022</t>
        </is>
      </c>
      <c r="G11" s="5" t="inlineStr">
        <is>
          <t>Độ sụt 12+-2cm, đúc 6 tổ mẫu kiểm tra R7, R28</t>
        </is>
      </c>
    </row>
    <row r="12">
      <c r="A12" s="4" t="n">
        <v>7</v>
      </c>
      <c r="B12" s="4" t="inlineStr">
        <is>
          <t>BBNT-07</t>
        </is>
      </c>
      <c r="C12" s="5" t="inlineStr">
        <is>
          <t>Nghiệm thu cốt thép và ván khuôn cột tầng 1</t>
        </is>
      </c>
      <c r="D12" s="15">
        <f>QS_KET_CAU_THAN!J11</f>
        <v/>
      </c>
      <c r="E12" s="4" t="inlineStr">
        <is>
          <t>m2</t>
        </is>
      </c>
      <c r="F12" s="4" t="inlineStr">
        <is>
          <t>TCVN 4453:1995</t>
        </is>
      </c>
      <c r="G12" s="5" t="inlineStr">
        <is>
          <t>Độ thẳng đứng cột sai số &lt;= 5mm, giằng chống chắc</t>
        </is>
      </c>
    </row>
    <row r="13">
      <c r="A13" s="4" t="n">
        <v>8</v>
      </c>
      <c r="B13" s="4" t="inlineStr">
        <is>
          <t>BBNT-08</t>
        </is>
      </c>
      <c r="C13" s="5" t="inlineStr">
        <is>
          <t>Nghiệm thu đổ bê tông cột tầng 1 mác 300</t>
        </is>
      </c>
      <c r="D13" s="15">
        <f>QS_KET_CAU_THAN!J7</f>
        <v/>
      </c>
      <c r="E13" s="4" t="inlineStr">
        <is>
          <t>m3</t>
        </is>
      </c>
      <c r="F13" s="4" t="inlineStr">
        <is>
          <t>TCVN 3105:2022</t>
        </is>
      </c>
      <c r="G13" s="5" t="inlineStr">
        <is>
          <t>Không rỗ tổ ong, bảo dưỡng ẩm liên tục 7 ngày</t>
        </is>
      </c>
    </row>
    <row r="14">
      <c r="A14" s="4" t="n">
        <v>9</v>
      </c>
      <c r="B14" s="4" t="inlineStr">
        <is>
          <t>BBNT-09</t>
        </is>
      </c>
      <c r="C14" s="5" t="inlineStr">
        <is>
          <t>Nghiệm thu ván khuôn, giáo nêm dầm sàn tầng 2</t>
        </is>
      </c>
      <c r="D14" s="15">
        <f>QS_KET_CAU_THAN!J22</f>
        <v/>
      </c>
      <c r="E14" s="4" t="inlineStr">
        <is>
          <t>m2</t>
        </is>
      </c>
      <c r="F14" s="4" t="inlineStr">
        <is>
          <t>TCVN 4453:1995</t>
        </is>
      </c>
      <c r="G14" s="5" t="inlineStr">
        <is>
          <t>Độ võng ván khuôn, kín khít không mất nước xi măng</t>
        </is>
      </c>
    </row>
    <row r="15">
      <c r="A15" s="4" t="n">
        <v>10</v>
      </c>
      <c r="B15" s="4" t="inlineStr">
        <is>
          <t>BBNT-10</t>
        </is>
      </c>
      <c r="C15" s="5" t="inlineStr">
        <is>
          <t>Nghiệm thu cốt thép dầm sàn tầng 2 và con kê bê tông</t>
        </is>
      </c>
      <c r="D15" s="15">
        <f>QS_KET_CAU_THAN!J25</f>
        <v/>
      </c>
      <c r="E15" s="4" t="inlineStr">
        <is>
          <t>tấn</t>
        </is>
      </c>
      <c r="F15" s="4" t="inlineStr">
        <is>
          <t>TCVN 1651:2018</t>
        </is>
      </c>
      <c r="G15" s="5" t="inlineStr">
        <is>
          <t>Vị trí nối thép so le, thép mũ âm dầm sàn đúng TK</t>
        </is>
      </c>
    </row>
    <row r="16">
      <c r="A16" s="4" t="n">
        <v>11</v>
      </c>
      <c r="B16" s="4" t="inlineStr">
        <is>
          <t>BBNT-11</t>
        </is>
      </c>
      <c r="C16" s="5" t="inlineStr">
        <is>
          <t>Nghiệm thu đổ bê tông dầm sàn tầng 2 mác 250</t>
        </is>
      </c>
      <c r="D16" s="15">
        <f>QS_KET_CAU_THAN!J14</f>
        <v/>
      </c>
      <c r="E16" s="4" t="inlineStr">
        <is>
          <t>m3</t>
        </is>
      </c>
      <c r="F16" s="4" t="inlineStr">
        <is>
          <t>TCVN 3105:2022</t>
        </is>
      </c>
      <c r="G16" s="5" t="inlineStr">
        <is>
          <t>Đầm dùi kỹ, gạt phẳng mặt sàn, đúc mẫu R28</t>
        </is>
      </c>
    </row>
    <row r="17">
      <c r="A17" s="4" t="n">
        <v>12</v>
      </c>
      <c r="B17" s="4" t="inlineStr">
        <is>
          <t>BBNT-12</t>
        </is>
      </c>
      <c r="C17" s="5" t="inlineStr">
        <is>
          <t>Nghiệm thu cốt thép, ván khuôn, bê tông cột dầm sàn tầng 3</t>
        </is>
      </c>
      <c r="D17" s="15">
        <f>QS_KET_CAU_THAN!J17</f>
        <v/>
      </c>
      <c r="E17" s="4" t="inlineStr">
        <is>
          <t>m3</t>
        </is>
      </c>
      <c r="F17" s="4" t="inlineStr">
        <is>
          <t>TCVN 4453:1995</t>
        </is>
      </c>
      <c r="G17" s="5" t="inlineStr">
        <is>
          <t>Đúng cao độ thiết kế tầng 3, kiểm tra liên kết nút khung</t>
        </is>
      </c>
    </row>
    <row r="18">
      <c r="A18" s="4" t="n">
        <v>13</v>
      </c>
      <c r="B18" s="4" t="inlineStr">
        <is>
          <t>BBNT-13</t>
        </is>
      </c>
      <c r="C18" s="5" t="inlineStr">
        <is>
          <t>Nghiệm thu bê tông bản sàn mái tum và dầm mái</t>
        </is>
      </c>
      <c r="D18" s="15">
        <f>QS_KET_CAU_THAN!J19</f>
        <v/>
      </c>
      <c r="E18" s="4" t="inlineStr">
        <is>
          <t>m3</t>
        </is>
      </c>
      <c r="F18" s="4" t="inlineStr">
        <is>
          <t>TCVN 3105:2022</t>
        </is>
      </c>
      <c r="G18" s="5" t="inlineStr">
        <is>
          <t>Độ dốc thoát nước mái &gt;= 2%, không đọng nước</t>
        </is>
      </c>
    </row>
    <row r="19">
      <c r="A19" s="4" t="n">
        <v>14</v>
      </c>
      <c r="B19" s="4" t="inlineStr">
        <is>
          <t>BBNT-14</t>
        </is>
      </c>
      <c r="C19" s="5" t="inlineStr">
        <is>
          <t>Nghiệm thu giàn giáo bao che ngoài nhà kết hợp lưới an toàn</t>
        </is>
      </c>
      <c r="D19" s="15">
        <f>QS_MEP_PHU_TRO!J14</f>
        <v/>
      </c>
      <c r="E19" s="4" t="inlineStr">
        <is>
          <t>m2</t>
        </is>
      </c>
      <c r="F19" s="4" t="inlineStr">
        <is>
          <t>TCVN 5308:1991</t>
        </is>
      </c>
      <c r="G19" s="5" t="inlineStr">
        <is>
          <t>Neo giữ giàn giáo vào khung nhà chắc chắn, lưới phủ kín</t>
        </is>
      </c>
    </row>
    <row r="20">
      <c r="A20" s="4" t="n">
        <v>15</v>
      </c>
      <c r="B20" s="4" t="inlineStr">
        <is>
          <t>BBNT-15</t>
        </is>
      </c>
      <c r="C20" s="5" t="inlineStr">
        <is>
          <t>Nghiệm thu xây tường bao 220mm và tường ngăn 110mm</t>
        </is>
      </c>
      <c r="D20" s="15">
        <f>QS_HOAN_THIEN!J7</f>
        <v/>
      </c>
      <c r="E20" s="4" t="inlineStr">
        <is>
          <t>m3</t>
        </is>
      </c>
      <c r="F20" s="4" t="inlineStr">
        <is>
          <t>TCVN 4085:2011</t>
        </is>
      </c>
      <c r="G20" s="5" t="inlineStr">
        <is>
          <t>Mạch vữa no đều dày 10-12mm, câu râu thép cột-tường</t>
        </is>
      </c>
    </row>
    <row r="21">
      <c r="A21" s="4" t="n">
        <v>16</v>
      </c>
      <c r="B21" s="4" t="inlineStr">
        <is>
          <t>BBNT-16</t>
        </is>
      </c>
      <c r="C21" s="5" t="inlineStr">
        <is>
          <t>Nghiệm thu trát tường ngoài nhà có phụ gia chống thấm</t>
        </is>
      </c>
      <c r="D21" s="15">
        <f>QS_HOAN_THIEN!J15</f>
        <v/>
      </c>
      <c r="E21" s="4" t="inlineStr">
        <is>
          <t>m2</t>
        </is>
      </c>
      <c r="F21" s="4" t="inlineStr">
        <is>
          <t>TCVN 9377:2012</t>
        </is>
      </c>
      <c r="G21" s="5" t="inlineStr">
        <is>
          <t>Bề mặt phẳng, không nứt chân chim, thử thấm nước</t>
        </is>
      </c>
    </row>
    <row r="22">
      <c r="A22" s="4" t="n">
        <v>17</v>
      </c>
      <c r="B22" s="4" t="inlineStr">
        <is>
          <t>BBNT-17</t>
        </is>
      </c>
      <c r="C22" s="5" t="inlineStr">
        <is>
          <t>Nghiệm thu trát tường trong nhà và trát dầm trần</t>
        </is>
      </c>
      <c r="D22" s="15">
        <f>QS_HOAN_THIEN!J16</f>
        <v/>
      </c>
      <c r="E22" s="4" t="inlineStr">
        <is>
          <t>m2</t>
        </is>
      </c>
      <c r="F22" s="4" t="inlineStr">
        <is>
          <t>TCVN 9377:2012</t>
        </is>
      </c>
      <c r="G22" s="5" t="inlineStr">
        <is>
          <t>Độ phẳng thước 2m khe hở &lt;= 2mm, góc ke vuông vức</t>
        </is>
      </c>
    </row>
    <row r="23">
      <c r="A23" s="4" t="n">
        <v>18</v>
      </c>
      <c r="B23" s="4" t="inlineStr">
        <is>
          <t>BBNT-18</t>
        </is>
      </c>
      <c r="C23" s="5" t="inlineStr">
        <is>
          <t>Nghiệm thu chống thấm sàn vệ sinh và ban công mái</t>
        </is>
      </c>
      <c r="D23" s="15">
        <f>QS_HOAN_THIEN!J17</f>
        <v/>
      </c>
      <c r="E23" s="4" t="inlineStr">
        <is>
          <t>m2</t>
        </is>
      </c>
      <c r="F23" s="4" t="inlineStr">
        <is>
          <t>TCVN 9386:2012</t>
        </is>
      </c>
      <c r="G23" s="5" t="inlineStr">
        <is>
          <t>Ngâm thử nước 48h kiểm tra rò rỉ, quét màng đàn hồi</t>
        </is>
      </c>
    </row>
    <row r="24">
      <c r="A24" s="4" t="n">
        <v>19</v>
      </c>
      <c r="B24" s="4" t="inlineStr">
        <is>
          <t>BBNT-19</t>
        </is>
      </c>
      <c r="C24" s="5" t="inlineStr">
        <is>
          <t>Nghiệm thu ốp lát gạch nền và gạch tường vệ sinh</t>
        </is>
      </c>
      <c r="D24" s="15">
        <f>QS_HOAN_THIEN!J20</f>
        <v/>
      </c>
      <c r="E24" s="4" t="inlineStr">
        <is>
          <t>m2</t>
        </is>
      </c>
      <c r="F24" s="4" t="inlineStr">
        <is>
          <t>TCVN 9377:2012</t>
        </is>
      </c>
      <c r="G24" s="5" t="inlineStr">
        <is>
          <t>Mạch gạch thẳng đều, không bộp vữa, độ dốc ga thoát</t>
        </is>
      </c>
    </row>
    <row r="25">
      <c r="A25" s="4" t="n">
        <v>20</v>
      </c>
      <c r="B25" s="4" t="inlineStr">
        <is>
          <t>BBNT-20</t>
        </is>
      </c>
      <c r="C25" s="5" t="inlineStr">
        <is>
          <t>Nghiệm thu trần thạch cao khung chìm và sơn bả matit</t>
        </is>
      </c>
      <c r="D25" s="15">
        <f>QS_HOAN_THIEN!J24</f>
        <v/>
      </c>
      <c r="E25" s="4" t="inlineStr">
        <is>
          <t>m2</t>
        </is>
      </c>
      <c r="F25" s="4" t="inlineStr">
        <is>
          <t>TCVN 9377:2012</t>
        </is>
      </c>
      <c r="G25" s="5" t="inlineStr">
        <is>
          <t>Khung xương phẳng, sơn đều màu không loang lổ</t>
        </is>
      </c>
    </row>
    <row r="26">
      <c r="A26" s="4" t="n">
        <v>21</v>
      </c>
      <c r="B26" s="4" t="inlineStr">
        <is>
          <t>BBNT-21</t>
        </is>
      </c>
      <c r="C26" s="5" t="inlineStr">
        <is>
          <t>Nghiệm thu lắp đặt cửa nhôm hệ Xingfa và phụ kiện Kinlong</t>
        </is>
      </c>
      <c r="D26" s="15">
        <f>QS_HOAN_THIEN!J25</f>
        <v/>
      </c>
      <c r="E26" s="4" t="inlineStr">
        <is>
          <t>m2</t>
        </is>
      </c>
      <c r="F26" s="4" t="inlineStr">
        <is>
          <t>TCVN 9366:2012</t>
        </is>
      </c>
      <c r="G26" s="5" t="inlineStr">
        <is>
          <t>Kín khít gió mưa, đóng mở êm thuận, gioăng cao su khít</t>
        </is>
      </c>
    </row>
    <row r="27">
      <c r="A27" s="4" t="n">
        <v>22</v>
      </c>
      <c r="B27" s="4" t="inlineStr">
        <is>
          <t>BBNT-22</t>
        </is>
      </c>
      <c r="C27" s="5" t="inlineStr">
        <is>
          <t>Nghiệm thu hệ thống đường ống cấp thoát nước (Thử áp 6 bar)</t>
        </is>
      </c>
      <c r="D27" s="16" t="n">
        <v>1</v>
      </c>
      <c r="E27" s="4" t="inlineStr">
        <is>
          <t>Hệ</t>
        </is>
      </c>
      <c r="F27" s="4" t="inlineStr">
        <is>
          <t>TCVN 4513:1988</t>
        </is>
      </c>
      <c r="G27" s="5" t="inlineStr">
        <is>
          <t>Thử áp lực đường ống kín nước, không rò rỉ</t>
        </is>
      </c>
    </row>
    <row r="28">
      <c r="A28" s="4" t="n">
        <v>23</v>
      </c>
      <c r="B28" s="4" t="inlineStr">
        <is>
          <t>BBNT-23</t>
        </is>
      </c>
      <c r="C28" s="5" t="inlineStr">
        <is>
          <t>Nghiệm thu hệ thống điện chiếu sáng, ổ cắm &amp; đo điện trở đất</t>
        </is>
      </c>
      <c r="D28" s="16" t="n">
        <v>1</v>
      </c>
      <c r="E28" s="4" t="inlineStr">
        <is>
          <t>Hệ</t>
        </is>
      </c>
      <c r="F28" s="4" t="inlineStr">
        <is>
          <t>TCVN 9385:2012</t>
        </is>
      </c>
      <c r="G28" s="5" t="inlineStr">
        <is>
          <t>Điện trở tiếp địa chống sét R &lt;= 10 Ohm</t>
        </is>
      </c>
    </row>
    <row r="29">
      <c r="A29" s="4" t="n">
        <v>24</v>
      </c>
      <c r="B29" s="4" t="inlineStr">
        <is>
          <t>BBNT-24</t>
        </is>
      </c>
      <c r="C29" s="5" t="inlineStr">
        <is>
          <t>Nghiệm thu hoàn thành công trình đưa vào sử dụng</t>
        </is>
      </c>
      <c r="D29" s="16" t="n">
        <v>1</v>
      </c>
      <c r="E29" s="4" t="inlineStr">
        <is>
          <t>Công trình</t>
        </is>
      </c>
      <c r="F29" s="4" t="inlineStr">
        <is>
          <t>Nghị định 207/2026/NĐ-CP</t>
        </is>
      </c>
      <c r="G29" s="5" t="inlineStr">
        <is>
          <t>Đầy đủ hồ sơ hoàn công, kiểm định an toàn PCCC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2026-09-24T21:16:59Z</dcterms:created>
  <dcterms:modified xmlns:dcterms="http://purl.org/dc/terms/" xmlns:xsi="http://www.w3.org/2001/XMLSchema-instance" xsi:type="dcterms:W3CDTF">2026-09-24T21:16:59Z</dcterms:modified>
</cp:coreProperties>
</file>