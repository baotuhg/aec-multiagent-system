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otu\Downloads\Compressed\OpenSpace-main\OpenSpace-main\DONG_GOI_HETHONG_AEC\TEMPLATES_MAU\"/>
    </mc:Choice>
  </mc:AlternateContent>
  <xr:revisionPtr revIDLastSave="0" documentId="13_ncr:1_{E4AC730B-A9B5-4F5C-8B81-4B65838A474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QS_DIEN_GIAI_CHI_TIET" sheetId="1" r:id="rId1"/>
    <sheet name="TONG_HOP_DU_TOAN_GXD" sheetId="2" r:id="rId2"/>
    <sheet name="TO_HOP_CAT_THEP_11M7" sheetId="3" r:id="rId3"/>
    <sheet name="KHOI_LUONG_DAO_DAP" sheetId="4" r:id="rId4"/>
    <sheet name="TIEN_DO_THI_CONG_WBS" sheetId="5" r:id="rId5"/>
    <sheet name="HOSO_KCS_NGHIEM_THU" sheetId="6" r:id="rId6"/>
    <sheet name="BIEU_DO_GANT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7" l="1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H39" i="7"/>
  <c r="F39" i="7"/>
  <c r="E39" i="7"/>
  <c r="D39" i="7"/>
  <c r="C39" i="7"/>
  <c r="I39" i="7" s="1"/>
  <c r="B39" i="7"/>
  <c r="A39" i="7"/>
  <c r="H38" i="7"/>
  <c r="G38" i="7"/>
  <c r="K38" i="7" s="1"/>
  <c r="F38" i="7"/>
  <c r="E38" i="7"/>
  <c r="D38" i="7"/>
  <c r="C38" i="7"/>
  <c r="I38" i="7" s="1"/>
  <c r="B38" i="7"/>
  <c r="A38" i="7"/>
  <c r="I37" i="7"/>
  <c r="H37" i="7"/>
  <c r="F37" i="7"/>
  <c r="G37" i="7" s="1"/>
  <c r="K37" i="7" s="1"/>
  <c r="E37" i="7"/>
  <c r="D37" i="7"/>
  <c r="C37" i="7"/>
  <c r="B37" i="7"/>
  <c r="A37" i="7"/>
  <c r="H36" i="7"/>
  <c r="G36" i="7" s="1"/>
  <c r="K36" i="7" s="1"/>
  <c r="F36" i="7"/>
  <c r="E36" i="7"/>
  <c r="D36" i="7"/>
  <c r="C36" i="7"/>
  <c r="I36" i="7" s="1"/>
  <c r="B36" i="7"/>
  <c r="A36" i="7"/>
  <c r="H35" i="7"/>
  <c r="F35" i="7"/>
  <c r="E35" i="7"/>
  <c r="D35" i="7"/>
  <c r="C35" i="7"/>
  <c r="I35" i="7" s="1"/>
  <c r="B35" i="7"/>
  <c r="A35" i="7"/>
  <c r="H34" i="7"/>
  <c r="G34" i="7" s="1"/>
  <c r="K34" i="7" s="1"/>
  <c r="F34" i="7"/>
  <c r="E34" i="7"/>
  <c r="D34" i="7"/>
  <c r="C34" i="7"/>
  <c r="I34" i="7" s="1"/>
  <c r="B34" i="7"/>
  <c r="A34" i="7"/>
  <c r="H33" i="7"/>
  <c r="F33" i="7"/>
  <c r="E33" i="7"/>
  <c r="D33" i="7"/>
  <c r="C33" i="7"/>
  <c r="I33" i="7" s="1"/>
  <c r="B33" i="7"/>
  <c r="A33" i="7"/>
  <c r="I32" i="7"/>
  <c r="H32" i="7"/>
  <c r="F32" i="7"/>
  <c r="G32" i="7" s="1"/>
  <c r="K32" i="7" s="1"/>
  <c r="E32" i="7"/>
  <c r="D32" i="7"/>
  <c r="C32" i="7"/>
  <c r="B32" i="7"/>
  <c r="A32" i="7"/>
  <c r="H31" i="7"/>
  <c r="F31" i="7"/>
  <c r="E31" i="7"/>
  <c r="D31" i="7"/>
  <c r="C31" i="7"/>
  <c r="I31" i="7" s="1"/>
  <c r="B31" i="7"/>
  <c r="A31" i="7"/>
  <c r="H30" i="7"/>
  <c r="F30" i="7"/>
  <c r="E30" i="7"/>
  <c r="D30" i="7"/>
  <c r="C30" i="7"/>
  <c r="I30" i="7" s="1"/>
  <c r="B30" i="7"/>
  <c r="A30" i="7"/>
  <c r="H29" i="7"/>
  <c r="F29" i="7"/>
  <c r="G29" i="7" s="1"/>
  <c r="K29" i="7" s="1"/>
  <c r="E29" i="7"/>
  <c r="D29" i="7"/>
  <c r="C29" i="7"/>
  <c r="I29" i="7" s="1"/>
  <c r="B29" i="7"/>
  <c r="A29" i="7"/>
  <c r="H28" i="7"/>
  <c r="F28" i="7"/>
  <c r="E28" i="7"/>
  <c r="D28" i="7"/>
  <c r="C28" i="7"/>
  <c r="B28" i="7"/>
  <c r="I28" i="7" s="1"/>
  <c r="A28" i="7"/>
  <c r="I27" i="7"/>
  <c r="H27" i="7"/>
  <c r="F27" i="7"/>
  <c r="E27" i="7"/>
  <c r="D27" i="7"/>
  <c r="C27" i="7"/>
  <c r="B27" i="7"/>
  <c r="A27" i="7"/>
  <c r="H26" i="7"/>
  <c r="F26" i="7"/>
  <c r="E26" i="7"/>
  <c r="D26" i="7"/>
  <c r="C26" i="7"/>
  <c r="I26" i="7" s="1"/>
  <c r="B26" i="7"/>
  <c r="A26" i="7"/>
  <c r="H25" i="7"/>
  <c r="F25" i="7"/>
  <c r="E25" i="7"/>
  <c r="D25" i="7"/>
  <c r="C25" i="7"/>
  <c r="I25" i="7" s="1"/>
  <c r="B25" i="7"/>
  <c r="A25" i="7"/>
  <c r="I24" i="7"/>
  <c r="H24" i="7"/>
  <c r="F24" i="7"/>
  <c r="G24" i="7" s="1"/>
  <c r="K24" i="7" s="1"/>
  <c r="E24" i="7"/>
  <c r="D24" i="7"/>
  <c r="C24" i="7"/>
  <c r="B24" i="7"/>
  <c r="A24" i="7"/>
  <c r="H23" i="7"/>
  <c r="F23" i="7"/>
  <c r="E23" i="7"/>
  <c r="D23" i="7"/>
  <c r="C23" i="7"/>
  <c r="I23" i="7" s="1"/>
  <c r="B23" i="7"/>
  <c r="A23" i="7"/>
  <c r="H22" i="7"/>
  <c r="F22" i="7"/>
  <c r="G22" i="7" s="1"/>
  <c r="K22" i="7" s="1"/>
  <c r="E22" i="7"/>
  <c r="D22" i="7"/>
  <c r="C22" i="7"/>
  <c r="I22" i="7" s="1"/>
  <c r="B22" i="7"/>
  <c r="A22" i="7"/>
  <c r="H21" i="7"/>
  <c r="F21" i="7"/>
  <c r="E21" i="7"/>
  <c r="D21" i="7"/>
  <c r="C21" i="7"/>
  <c r="I21" i="7" s="1"/>
  <c r="B21" i="7"/>
  <c r="A21" i="7"/>
  <c r="H20" i="7"/>
  <c r="G20" i="7" s="1"/>
  <c r="K20" i="7" s="1"/>
  <c r="F20" i="7"/>
  <c r="E20" i="7"/>
  <c r="D20" i="7"/>
  <c r="C20" i="7"/>
  <c r="I20" i="7" s="1"/>
  <c r="B20" i="7"/>
  <c r="A20" i="7"/>
  <c r="I19" i="7"/>
  <c r="H19" i="7"/>
  <c r="G19" i="7" s="1"/>
  <c r="K19" i="7" s="1"/>
  <c r="F19" i="7"/>
  <c r="E19" i="7"/>
  <c r="D19" i="7"/>
  <c r="C19" i="7"/>
  <c r="B19" i="7"/>
  <c r="A19" i="7"/>
  <c r="H18" i="7"/>
  <c r="F18" i="7"/>
  <c r="E18" i="7"/>
  <c r="D18" i="7"/>
  <c r="C18" i="7"/>
  <c r="I18" i="7" s="1"/>
  <c r="B18" i="7"/>
  <c r="A18" i="7"/>
  <c r="H17" i="7"/>
  <c r="F17" i="7"/>
  <c r="E17" i="7"/>
  <c r="D17" i="7"/>
  <c r="C17" i="7"/>
  <c r="I17" i="7" s="1"/>
  <c r="B17" i="7"/>
  <c r="A17" i="7"/>
  <c r="H16" i="7"/>
  <c r="F16" i="7"/>
  <c r="E16" i="7"/>
  <c r="D16" i="7"/>
  <c r="C16" i="7"/>
  <c r="I16" i="7" s="1"/>
  <c r="B16" i="7"/>
  <c r="A16" i="7"/>
  <c r="H15" i="7"/>
  <c r="G15" i="7"/>
  <c r="K15" i="7" s="1"/>
  <c r="F15" i="7"/>
  <c r="E15" i="7"/>
  <c r="D15" i="7"/>
  <c r="C15" i="7"/>
  <c r="I15" i="7" s="1"/>
  <c r="B15" i="7"/>
  <c r="A15" i="7"/>
  <c r="I14" i="7"/>
  <c r="H14" i="7"/>
  <c r="G14" i="7"/>
  <c r="K14" i="7" s="1"/>
  <c r="F14" i="7"/>
  <c r="E14" i="7"/>
  <c r="D14" i="7"/>
  <c r="C14" i="7"/>
  <c r="B14" i="7"/>
  <c r="A14" i="7"/>
  <c r="H13" i="7"/>
  <c r="F13" i="7"/>
  <c r="E13" i="7"/>
  <c r="D13" i="7"/>
  <c r="C13" i="7"/>
  <c r="I13" i="7" s="1"/>
  <c r="B13" i="7"/>
  <c r="A13" i="7"/>
  <c r="H12" i="7"/>
  <c r="F12" i="7"/>
  <c r="G12" i="7" s="1"/>
  <c r="K12" i="7" s="1"/>
  <c r="E12" i="7"/>
  <c r="D12" i="7"/>
  <c r="C12" i="7"/>
  <c r="I12" i="7" s="1"/>
  <c r="B12" i="7"/>
  <c r="A12" i="7"/>
  <c r="H11" i="7"/>
  <c r="F11" i="7"/>
  <c r="E11" i="7"/>
  <c r="D11" i="7"/>
  <c r="C11" i="7"/>
  <c r="I11" i="7" s="1"/>
  <c r="B11" i="7"/>
  <c r="A11" i="7"/>
  <c r="H10" i="7"/>
  <c r="F10" i="7"/>
  <c r="E10" i="7"/>
  <c r="D10" i="7"/>
  <c r="C10" i="7"/>
  <c r="I10" i="7" s="1"/>
  <c r="B10" i="7"/>
  <c r="A10" i="7"/>
  <c r="I9" i="7"/>
  <c r="H9" i="7"/>
  <c r="F9" i="7"/>
  <c r="E9" i="7"/>
  <c r="D9" i="7"/>
  <c r="C9" i="7"/>
  <c r="B9" i="7"/>
  <c r="A9" i="7"/>
  <c r="H8" i="7"/>
  <c r="F8" i="7"/>
  <c r="E8" i="7"/>
  <c r="D8" i="7"/>
  <c r="C8" i="7"/>
  <c r="I8" i="7" s="1"/>
  <c r="B8" i="7"/>
  <c r="A8" i="7"/>
  <c r="H7" i="7"/>
  <c r="F7" i="7"/>
  <c r="E7" i="7"/>
  <c r="D7" i="7"/>
  <c r="C7" i="7"/>
  <c r="I7" i="7" s="1"/>
  <c r="B7" i="7"/>
  <c r="A7" i="7"/>
  <c r="H6" i="7"/>
  <c r="F6" i="7"/>
  <c r="E6" i="7"/>
  <c r="D6" i="7"/>
  <c r="C6" i="7"/>
  <c r="I6" i="7" s="1"/>
  <c r="B6" i="7"/>
  <c r="A6" i="7"/>
  <c r="I5" i="7"/>
  <c r="H5" i="7"/>
  <c r="G5" i="7"/>
  <c r="K5" i="7" s="1"/>
  <c r="F5" i="7"/>
  <c r="E5" i="7"/>
  <c r="D5" i="7"/>
  <c r="C5" i="7"/>
  <c r="B5" i="7"/>
  <c r="A5" i="7"/>
  <c r="F41" i="5"/>
  <c r="H41" i="5" s="1"/>
  <c r="F40" i="5"/>
  <c r="H40" i="5" s="1"/>
  <c r="F39" i="5"/>
  <c r="H39" i="5" s="1"/>
  <c r="C37" i="5"/>
  <c r="F37" i="5" s="1"/>
  <c r="H37" i="5" s="1"/>
  <c r="F34" i="5"/>
  <c r="C33" i="5"/>
  <c r="F33" i="5" s="1"/>
  <c r="H33" i="5" s="1"/>
  <c r="F29" i="5"/>
  <c r="H29" i="5" s="1"/>
  <c r="F28" i="5"/>
  <c r="C27" i="5"/>
  <c r="F27" i="5" s="1"/>
  <c r="H27" i="5" s="1"/>
  <c r="H26" i="5"/>
  <c r="F26" i="5"/>
  <c r="F22" i="5"/>
  <c r="H22" i="5" s="1"/>
  <c r="F20" i="5"/>
  <c r="H20" i="5" s="1"/>
  <c r="C19" i="5"/>
  <c r="F19" i="5" s="1"/>
  <c r="H19" i="5" s="1"/>
  <c r="F18" i="5"/>
  <c r="F16" i="5"/>
  <c r="H16" i="5" s="1"/>
  <c r="C15" i="5"/>
  <c r="F15" i="5" s="1"/>
  <c r="H15" i="5" s="1"/>
  <c r="F13" i="5"/>
  <c r="H13" i="5" s="1"/>
  <c r="F10" i="5"/>
  <c r="H10" i="5" s="1"/>
  <c r="F8" i="5"/>
  <c r="H8" i="5" s="1"/>
  <c r="D16" i="4"/>
  <c r="J15" i="4"/>
  <c r="H15" i="4"/>
  <c r="F15" i="4"/>
  <c r="J14" i="4"/>
  <c r="H14" i="4"/>
  <c r="F14" i="4"/>
  <c r="J13" i="4"/>
  <c r="H13" i="4"/>
  <c r="F13" i="4"/>
  <c r="F16" i="4" s="1"/>
  <c r="J45" i="1" s="1"/>
  <c r="J12" i="4"/>
  <c r="H12" i="4"/>
  <c r="F12" i="4"/>
  <c r="J11" i="4"/>
  <c r="H11" i="4"/>
  <c r="F11" i="4"/>
  <c r="J10" i="4"/>
  <c r="H10" i="4"/>
  <c r="F10" i="4"/>
  <c r="J9" i="4"/>
  <c r="H9" i="4"/>
  <c r="F9" i="4"/>
  <c r="J8" i="4"/>
  <c r="H8" i="4"/>
  <c r="F8" i="4"/>
  <c r="J7" i="4"/>
  <c r="J16" i="4" s="1"/>
  <c r="J47" i="1" s="1"/>
  <c r="H7" i="4"/>
  <c r="H16" i="4" s="1"/>
  <c r="J46" i="1" s="1"/>
  <c r="L46" i="1" s="1"/>
  <c r="F7" i="4"/>
  <c r="F15" i="3"/>
  <c r="K15" i="3" s="1"/>
  <c r="K14" i="3"/>
  <c r="F14" i="3"/>
  <c r="H14" i="3" s="1"/>
  <c r="I14" i="3" s="1"/>
  <c r="J14" i="3" s="1"/>
  <c r="L14" i="3" s="1"/>
  <c r="F12" i="3"/>
  <c r="K12" i="3" s="1"/>
  <c r="F11" i="3"/>
  <c r="K11" i="3" s="1"/>
  <c r="K10" i="3"/>
  <c r="K13" i="3" s="1"/>
  <c r="J34" i="1" s="1"/>
  <c r="F10" i="3"/>
  <c r="H10" i="3" s="1"/>
  <c r="I10" i="3" s="1"/>
  <c r="J10" i="3" s="1"/>
  <c r="L10" i="3" s="1"/>
  <c r="H8" i="3"/>
  <c r="I8" i="3" s="1"/>
  <c r="J8" i="3" s="1"/>
  <c r="L8" i="3" s="1"/>
  <c r="F8" i="3"/>
  <c r="K8" i="3" s="1"/>
  <c r="F7" i="3"/>
  <c r="K7" i="3" s="1"/>
  <c r="F6" i="3"/>
  <c r="K6" i="3" s="1"/>
  <c r="K9" i="3" s="1"/>
  <c r="J54" i="1"/>
  <c r="C9" i="5" s="1"/>
  <c r="F9" i="5" s="1"/>
  <c r="H9" i="5" s="1"/>
  <c r="J52" i="1"/>
  <c r="J51" i="1"/>
  <c r="C38" i="5" s="1"/>
  <c r="F38" i="5" s="1"/>
  <c r="H38" i="5" s="1"/>
  <c r="J50" i="1"/>
  <c r="J49" i="1"/>
  <c r="J43" i="1"/>
  <c r="L43" i="1" s="1"/>
  <c r="J42" i="1"/>
  <c r="L42" i="1" s="1"/>
  <c r="J41" i="1"/>
  <c r="L41" i="1" s="1"/>
  <c r="J40" i="1"/>
  <c r="J38" i="1" s="1"/>
  <c r="J39" i="1"/>
  <c r="J37" i="1"/>
  <c r="J36" i="1"/>
  <c r="C30" i="5" s="1"/>
  <c r="F30" i="5" s="1"/>
  <c r="H30" i="5" s="1"/>
  <c r="J35" i="1"/>
  <c r="D18" i="6" s="1"/>
  <c r="J33" i="1"/>
  <c r="J32" i="1"/>
  <c r="J30" i="1" s="1"/>
  <c r="J31" i="1"/>
  <c r="J28" i="1"/>
  <c r="J27" i="1"/>
  <c r="J26" i="1"/>
  <c r="L26" i="1" s="1"/>
  <c r="J24" i="1"/>
  <c r="J23" i="1"/>
  <c r="J22" i="1"/>
  <c r="L22" i="1" s="1"/>
  <c r="J21" i="1"/>
  <c r="J20" i="1"/>
  <c r="C21" i="5" s="1"/>
  <c r="F21" i="5" s="1"/>
  <c r="H21" i="5" s="1"/>
  <c r="J19" i="1"/>
  <c r="J18" i="1"/>
  <c r="J17" i="1" s="1"/>
  <c r="J16" i="1"/>
  <c r="J15" i="1"/>
  <c r="J14" i="1"/>
  <c r="L14" i="1" s="1"/>
  <c r="J13" i="1"/>
  <c r="J12" i="1"/>
  <c r="J11" i="1"/>
  <c r="L11" i="1" s="1"/>
  <c r="J10" i="1"/>
  <c r="C14" i="5" s="1"/>
  <c r="F14" i="5" s="1"/>
  <c r="H14" i="5" s="1"/>
  <c r="J9" i="1"/>
  <c r="J8" i="1"/>
  <c r="D14" i="6"/>
  <c r="D12" i="6"/>
  <c r="D10" i="6"/>
  <c r="G27" i="7" l="1"/>
  <c r="K27" i="7" s="1"/>
  <c r="G7" i="7"/>
  <c r="K7" i="7" s="1"/>
  <c r="G35" i="7"/>
  <c r="K35" i="7" s="1"/>
  <c r="G30" i="7"/>
  <c r="K30" i="7" s="1"/>
  <c r="G25" i="7"/>
  <c r="K25" i="7" s="1"/>
  <c r="G9" i="7"/>
  <c r="K9" i="7" s="1"/>
  <c r="G17" i="7"/>
  <c r="K17" i="7" s="1"/>
  <c r="G28" i="7"/>
  <c r="K28" i="7" s="1"/>
  <c r="G10" i="7"/>
  <c r="K10" i="7" s="1"/>
  <c r="G33" i="7"/>
  <c r="K33" i="7" s="1"/>
  <c r="G23" i="7"/>
  <c r="K23" i="7" s="1"/>
  <c r="G18" i="7"/>
  <c r="K18" i="7" s="1"/>
  <c r="G13" i="7"/>
  <c r="K13" i="7" s="1"/>
  <c r="G8" i="7"/>
  <c r="K8" i="7" s="1"/>
  <c r="G31" i="7"/>
  <c r="K31" i="7" s="1"/>
  <c r="G26" i="7"/>
  <c r="K26" i="7" s="1"/>
  <c r="G21" i="7"/>
  <c r="K21" i="7" s="1"/>
  <c r="G16" i="7"/>
  <c r="K16" i="7" s="1"/>
  <c r="G11" i="7"/>
  <c r="K11" i="7" s="1"/>
  <c r="G39" i="7"/>
  <c r="K39" i="7" s="1"/>
  <c r="G6" i="7"/>
  <c r="K6" i="7" s="1"/>
  <c r="D13" i="6"/>
  <c r="L17" i="1"/>
  <c r="C17" i="5"/>
  <c r="F17" i="5" s="1"/>
  <c r="H17" i="5" s="1"/>
  <c r="J25" i="1"/>
  <c r="L47" i="1"/>
  <c r="C36" i="5"/>
  <c r="F36" i="5" s="1"/>
  <c r="H36" i="5" s="1"/>
  <c r="D19" i="6"/>
  <c r="L38" i="1"/>
  <c r="D22" i="6"/>
  <c r="C35" i="5"/>
  <c r="F35" i="5" s="1"/>
  <c r="H35" i="5" s="1"/>
  <c r="L45" i="1"/>
  <c r="D15" i="6"/>
  <c r="L34" i="1"/>
  <c r="K16" i="3"/>
  <c r="J53" i="1" s="1"/>
  <c r="L53" i="1" s="1"/>
  <c r="L30" i="1"/>
  <c r="D16" i="6"/>
  <c r="L35" i="1"/>
  <c r="L54" i="1"/>
  <c r="H15" i="3"/>
  <c r="I15" i="3" s="1"/>
  <c r="J15" i="3" s="1"/>
  <c r="L15" i="3" s="1"/>
  <c r="D7" i="6"/>
  <c r="C32" i="5"/>
  <c r="F32" i="5" s="1"/>
  <c r="H32" i="5" s="1"/>
  <c r="H11" i="3"/>
  <c r="I11" i="3" s="1"/>
  <c r="J11" i="3" s="1"/>
  <c r="L11" i="3" s="1"/>
  <c r="H6" i="3"/>
  <c r="I6" i="3" s="1"/>
  <c r="J6" i="3" s="1"/>
  <c r="L6" i="3" s="1"/>
  <c r="D17" i="6"/>
  <c r="D20" i="6"/>
  <c r="C23" i="5"/>
  <c r="F23" i="5" s="1"/>
  <c r="H23" i="5" s="1"/>
  <c r="H7" i="3"/>
  <c r="I7" i="3" s="1"/>
  <c r="J7" i="3" s="1"/>
  <c r="L7" i="3" s="1"/>
  <c r="J48" i="1"/>
  <c r="C25" i="5"/>
  <c r="F25" i="5" s="1"/>
  <c r="H25" i="5" s="1"/>
  <c r="H12" i="3"/>
  <c r="I12" i="3" s="1"/>
  <c r="J12" i="3" s="1"/>
  <c r="L12" i="3" s="1"/>
  <c r="J7" i="1"/>
  <c r="C12" i="5" l="1"/>
  <c r="F12" i="5" s="1"/>
  <c r="H12" i="5" s="1"/>
  <c r="L7" i="1"/>
  <c r="L55" i="1" s="1"/>
  <c r="E6" i="2" s="1"/>
  <c r="D9" i="6"/>
  <c r="D21" i="6"/>
  <c r="L48" i="1"/>
  <c r="L25" i="1"/>
  <c r="D11" i="6"/>
  <c r="K17" i="3"/>
  <c r="E11" i="2" l="1"/>
  <c r="E12" i="2" s="1"/>
  <c r="E10" i="2"/>
  <c r="E9" i="2"/>
  <c r="E8" i="2"/>
  <c r="E7" i="2"/>
  <c r="E13" i="2" l="1"/>
  <c r="E14" i="2" s="1"/>
</calcChain>
</file>

<file path=xl/sharedStrings.xml><?xml version="1.0" encoding="utf-8"?>
<sst xmlns="http://schemas.openxmlformats.org/spreadsheetml/2006/main" count="744" uniqueCount="517">
  <si>
    <t>DANH MỤC HỒ SƠ QUẢN LÝ CHẤT LƯỢNG &amp; BIÊN BẢN NGHIỆM THU KCS</t>
  </si>
  <si>
    <t>Tuân thủ Luật Xây dựng 135/2025/QH15 &amp; Nghị định 207/2026/NĐ-CP (Khối lượng link từ Sheet QS)</t>
  </si>
  <si>
    <t>STT</t>
  </si>
  <si>
    <t>Số hiệu biên bản</t>
  </si>
  <si>
    <t>Tên công việc / Giai đoạn nghiệm thu</t>
  </si>
  <si>
    <t>Khối lượng
nghiệm thu</t>
  </si>
  <si>
    <t>ĐVT</t>
  </si>
  <si>
    <t>Căn cứ quy chuẩn / Tiêu chuẩn áp dụng</t>
  </si>
  <si>
    <t>Chỉ tiêu thí nghiệm / Kiểm tra KCS</t>
  </si>
  <si>
    <t>BBNT-01</t>
  </si>
  <si>
    <t>Bàn giao mốc tim tuyến, cọc mốc cao độ và mặt bằng</t>
  </si>
  <si>
    <t>Điểm</t>
  </si>
  <si>
    <t>TCVN 9393:2012</t>
  </si>
  <si>
    <t>Sai số tim mốc &lt;= 5mm, cao độ &lt;= 2mm</t>
  </si>
  <si>
    <t>BBNT-02</t>
  </si>
  <si>
    <t>Rà phá bom mìn, vật nổ và dọn dẹp mặt bằng lán trại</t>
  </si>
  <si>
    <t>m2</t>
  </si>
  <si>
    <t>QCVN 01:2010/BQP</t>
  </si>
  <si>
    <t>Biên bản nghiệm thu sạch nổ 100% diện tích</t>
  </si>
  <si>
    <t>BBNT-03</t>
  </si>
  <si>
    <t>Kiểm tra nghiệm thu chất lượng vật liệu đầu vào</t>
  </si>
  <si>
    <t>Lô</t>
  </si>
  <si>
    <t>TCVN 1651:2018</t>
  </si>
  <si>
    <t>Kéo uốn thép, chứng chỉ CO/CQ xi măng, đá cát</t>
  </si>
  <si>
    <t>BBNT-04</t>
  </si>
  <si>
    <t>Nghiệm thu hố móng ngàm vào đá gốc bệ mố M1, M2</t>
  </si>
  <si>
    <t>m3</t>
  </si>
  <si>
    <t>TCVN 4447:2012</t>
  </si>
  <si>
    <t>Độ sâu ngàm đá gốc &gt;= 0.5m, dọn sạch đáy móng</t>
  </si>
  <si>
    <t>BBNT-05</t>
  </si>
  <si>
    <t>Nghiệm thu khoan cấy thanh neo thép D32 vào nền đá</t>
  </si>
  <si>
    <t>thanh</t>
  </si>
  <si>
    <t>TCVN 8163:2009</t>
  </si>
  <si>
    <t>Cấy sâu &gt;= 0.5m, thử kéo nhổ neo đạt 100% P_tk</t>
  </si>
  <si>
    <t>BBNT-06</t>
  </si>
  <si>
    <t>Nghiệm thu ván khuôn, cốt thép bệ móng mố M1, M2</t>
  </si>
  <si>
    <t>tấn</t>
  </si>
  <si>
    <t>TCVN 4453:1995</t>
  </si>
  <si>
    <t>Khoảng cách cốt thép +-10mm, ván khuôn kín khít</t>
  </si>
  <si>
    <t>BBNT-07</t>
  </si>
  <si>
    <t>Nghiệm thu đổ bê tông bệ móng mố M1, M2 30MPa</t>
  </si>
  <si>
    <t>TCVN 3105:2022</t>
  </si>
  <si>
    <t>Độ sụt 12+-2cm, đúc 6 tổ mẫu nén R7, R28</t>
  </si>
  <si>
    <t>BBNT-08</t>
  </si>
  <si>
    <t>Nghiệm thu thân mố, tường ngực và đá kê gối 30MPa</t>
  </si>
  <si>
    <t>TCVN 11823:2017</t>
  </si>
  <si>
    <t>Kích thước hình học, tim đá kê gối sai số &lt;= 3mm</t>
  </si>
  <si>
    <t>BBNT-09</t>
  </si>
  <si>
    <t>Nghiệm thu ván khuôn, cốt thép, bê tông tường cánh</t>
  </si>
  <si>
    <t>Góc dốc tường cánh chéo, chiều dày lớp bảo vệ</t>
  </si>
  <si>
    <t>BBNT-10</t>
  </si>
  <si>
    <t>Nghiệm thu cốt thép dầm T 15m mác 40MPa</t>
  </si>
  <si>
    <t>Mối hàn so le thanh chủ D32, đai D10 buộc chắc chắn</t>
  </si>
  <si>
    <t>BBNT-11</t>
  </si>
  <si>
    <t>Nghiệm thu đổ bê tông 4 phiến dầm T 15m 40MPa</t>
  </si>
  <si>
    <t>Bảo dưỡng ẩm 14 ngày, cường độ R28 &gt;= 40MPa</t>
  </si>
  <si>
    <t>BBNT-12</t>
  </si>
  <si>
    <t>Nghiệm thu lắp đặt gối chậu cao su và lao dầm T</t>
  </si>
  <si>
    <t>cái</t>
  </si>
  <si>
    <t>TCVN 10308:2014</t>
  </si>
  <si>
    <t>Cao độ gối +-2mm, 4 phiến dầm đặt êm thuận</t>
  </si>
  <si>
    <t>BBNT-13</t>
  </si>
  <si>
    <t>Nghiệm thu ván khuôn, cốt thép, bê tông bản mặt cầu</t>
  </si>
  <si>
    <t>Dày bản 14cm, độ dốc ngang thoát nước 2%</t>
  </si>
  <si>
    <t>BBNT-14</t>
  </si>
  <si>
    <t>Nghiệm thu bản quá độ 2 đầu cầu mác 30MPa</t>
  </si>
  <si>
    <t>Lắp đặt 2 đầu mố L=4m, đầm chặt lớp đệm</t>
  </si>
  <si>
    <t>BBNT-15</t>
  </si>
  <si>
    <t>Nghiệm thu lan can thép mạ kẽm và khe co giãn</t>
  </si>
  <si>
    <t>m</t>
  </si>
  <si>
    <t>TCVN 5408:2007</t>
  </si>
  <si>
    <t>Chiều dày mạ kẽm nhúng nóng &gt;= 100 micron</t>
  </si>
  <si>
    <t>BBNT-16</t>
  </si>
  <si>
    <t>Nghiệm thu tường chắn taluy đợt 1-4 mác 25MPa</t>
  </si>
  <si>
    <t>Ống thoát nước PVC D110 bố trí so le cự ly 2m</t>
  </si>
  <si>
    <t>BBNT-17</t>
  </si>
  <si>
    <t>Nghiệm thu đào nền đường và đào phá đá mở rộng</t>
  </si>
  <si>
    <t>Cao độ đáy nền đường, độ dốc mái taluy đào</t>
  </si>
  <si>
    <t>BBNT-18</t>
  </si>
  <si>
    <t>Nghiệm thu hoàn thành công trình đưa vào sử dụng</t>
  </si>
  <si>
    <t>Công trình</t>
  </si>
  <si>
    <t>Nghị định 207/2026/NĐ-CP</t>
  </si>
  <si>
    <t>Thử tải cầu tĩnh &amp; động, kiểm tra hồ sơ hoàn công</t>
  </si>
  <si>
    <t>DỰ ÁN: CẦU THÔN KHAI HOANG 2 (Km14+363,65 - ĐƯỜNG ĐỒNG VĂN - MỐC 456, HÀ GIANG)</t>
  </si>
  <si>
    <t>BẢNG DIỄN GIẢI TIÊN LƯỢNG KHỐI LƯỢNG HÌNH HỌC CHI TIẾT (LIÊN KẾT CÔNG THỨC ĐỘNG 100%)</t>
  </si>
  <si>
    <t>TT</t>
  </si>
  <si>
    <t>Mã hiệu</t>
  </si>
  <si>
    <t>Nội dung công tác &amp; Diễn giải hình học cấu kiện</t>
  </si>
  <si>
    <t>Số lượng
(Cấu kiện)</t>
  </si>
  <si>
    <t>Dài
(m)</t>
  </si>
  <si>
    <t>Rộng
(m)</t>
  </si>
  <si>
    <t>Cao / Dày
(m)</t>
  </si>
  <si>
    <t>Hệ số
hình học</t>
  </si>
  <si>
    <t>Khối lượng
(Công thức)</t>
  </si>
  <si>
    <t>Đơn giá
(VNĐ)</t>
  </si>
  <si>
    <t>Thành tiền
(VNĐ)</t>
  </si>
  <si>
    <t>PHẦN I: CÔNG TÁC MÓNG VÀ MỐ CẦU (M1, M2)</t>
  </si>
  <si>
    <t>AB.11413</t>
  </si>
  <si>
    <t>Đào hố móng bệ mố ngàm vào nền đá gốc (Mố M1, M2)</t>
  </si>
  <si>
    <t>- Hố móng bệ mố M1 ngàm đá cấp 4</t>
  </si>
  <si>
    <t>- Hố móng bệ mố M2 ngàm đá cấp 4</t>
  </si>
  <si>
    <t>- Mái vát taluy đào mở rộng hố móng 2 mố</t>
  </si>
  <si>
    <t>AK.11111</t>
  </si>
  <si>
    <t>Đệm đá dăm 4x6 lót móng bệ mố dày 10cm</t>
  </si>
  <si>
    <t>- Đệm đá dăm móng bệ mố M1</t>
  </si>
  <si>
    <t>- Đệm đá dăm móng bệ mố M2</t>
  </si>
  <si>
    <t>AF.11111</t>
  </si>
  <si>
    <t>Bê tông bệ móng mố mác 30MPa (M1, M2)</t>
  </si>
  <si>
    <t>- Bệ móng mố M1 (chiều cao h=2.0m)</t>
  </si>
  <si>
    <t>- Bệ móng mố M2 (chiều cao h=2.25m)</t>
  </si>
  <si>
    <t>AF.12111</t>
  </si>
  <si>
    <t>Bê tông thân mố, tường ngực và đá kê gối mác 30MPa</t>
  </si>
  <si>
    <t>- Thân mố M1 (kích thước 1.2m x 9.6m x 1.2m)</t>
  </si>
  <si>
    <t>- Thân mố M2 (kích thước 1.2m x 9.6m x 1.2m)</t>
  </si>
  <si>
    <t>- Tường ngực 2 đầu mố</t>
  </si>
  <si>
    <t>- Đá kê gối mố (8 vị trí kê gối dầm)</t>
  </si>
  <si>
    <t>AF.12211</t>
  </si>
  <si>
    <t>Bê tông 4 tường cánh mố dốc chéo mác 30MPa</t>
  </si>
  <si>
    <t>- Bản thân tường cánh vát chéo (4 tường cánh)</t>
  </si>
  <si>
    <t>- Móng tường cánh mở rộng (4 móng)</t>
  </si>
  <si>
    <t>AF.61210</t>
  </si>
  <si>
    <t>Cốt thép bệ móng và thân mố M1, M2 (Lấy từ Bảng tổ hợp cắt thép)</t>
  </si>
  <si>
    <t>AL.11111</t>
  </si>
  <si>
    <t>Khoan cấy thanh neo thép D32 ngàm bệ mố vào đá gốc</t>
  </si>
  <si>
    <t>- Thanh neo D32 bệ mố M1 cấy sâu 0.5m</t>
  </si>
  <si>
    <t>- Thanh neo D32 bệ mố M2 cấy sâu 0.5m</t>
  </si>
  <si>
    <t>PHẦN II: KẾT CẤU PHẦN TRÊN (DẦM T, MẶT CẦU, LAN CAN)</t>
  </si>
  <si>
    <t>AF.31111</t>
  </si>
  <si>
    <t>Bê tông dầm T L=15m mác 40MPa (4 phiến dầm)</t>
  </si>
  <si>
    <t>- Bầu dầm T (4 phiến dầm)</t>
  </si>
  <si>
    <t>- Sườn dầm T (4 phiến dầm)</t>
  </si>
  <si>
    <t>- Bản cánh dầm T liên hợp (4 phiến dầm)</t>
  </si>
  <si>
    <t>AF.61310</t>
  </si>
  <si>
    <t>Cốt thép dầm T 15m (Thép chủ D32, đai D10, phân bố D14)</t>
  </si>
  <si>
    <t>AF.21111</t>
  </si>
  <si>
    <t>Bê tông bản mặt cầu và gờ chắn bánh mác 30MPa</t>
  </si>
  <si>
    <t>- Bản mặt cầu liên hợp dày 14cm</t>
  </si>
  <si>
    <t>- Gờ chắn bánh và chân lan can 2 bên</t>
  </si>
  <si>
    <t>AF.22210</t>
  </si>
  <si>
    <t>Bê tông bản quá độ 2 đầu cầu L=4m mác 30MPa</t>
  </si>
  <si>
    <t>- Bản quá độ mố M1</t>
  </si>
  <si>
    <t>- Bản quá độ mố M2</t>
  </si>
  <si>
    <t>AL.21111</t>
  </si>
  <si>
    <t>Gối cầu cao su bản thép cốt bản dầm T</t>
  </si>
  <si>
    <t>AL.31111</t>
  </si>
  <si>
    <t>Khe co giãn cao su cốt thép ray biên (2 vị trí mố)</t>
  </si>
  <si>
    <t>AL.41111</t>
  </si>
  <si>
    <t>Lan can thép mạ kẽm nhúng nóng dày &gt;= 100 micron</t>
  </si>
  <si>
    <t>PHẦN III: TƯỜNG CHẮN BẢO VỆ TALUY VÀ ĐÀO ĐẮP ĐƯỜNG ĐẦU CẦU</t>
  </si>
  <si>
    <t>AB.11311</t>
  </si>
  <si>
    <t>Đào đất nền đường đầu cầu (Theo Bảng trắc ngang)</t>
  </si>
  <si>
    <t>AB.11512</t>
  </si>
  <si>
    <t>Đào phá đá nền đường cấp 4 (Theo Bảng trắc ngang)</t>
  </si>
  <si>
    <t>AB.11611</t>
  </si>
  <si>
    <t>Đào bóc khuôn đường đầu cầu (Theo Bảng trắc ngang)</t>
  </si>
  <si>
    <t>AF.13111</t>
  </si>
  <si>
    <t>Bê tông tường chắn bảo vệ taluy đợt 1-4 mác 25MPa</t>
  </si>
  <si>
    <t>- Móng tường chắn đợt 1</t>
  </si>
  <si>
    <t>- Thân tường chắn đợt 2</t>
  </si>
  <si>
    <t>- Thân tường chắn đợt 3</t>
  </si>
  <si>
    <t>- Mũ đỉnh tường chắn đợt 4</t>
  </si>
  <si>
    <t>AF.61110</t>
  </si>
  <si>
    <t>Cốt thép tường chắn taluy (Lấy từ Bảng tổ hợp cắt thép)</t>
  </si>
  <si>
    <t>TT.10000</t>
  </si>
  <si>
    <t>Lán trại, nhà tạm, bến bãi thi công đúc dầm</t>
  </si>
  <si>
    <t>TỔNG CỘNG CHI PHÍ TRỰC TIẾP (T) = TỔNG CỘNG THÀNH TIỀN CÁC CÔNG TÁC</t>
  </si>
  <si>
    <t>BẢNG TỔNG HỢP KINH PHÍ DỰ TOÁN XÂY DỰNG (G_XD)</t>
  </si>
  <si>
    <t>Căn cứ Thông tư 11/2021/TT-BXD &amp; Luật Xây dựng (Liên kết động từ Sheet QS)</t>
  </si>
  <si>
    <t>Khoản mục chi phí</t>
  </si>
  <si>
    <t>Cách tính / Căn cứ định mức</t>
  </si>
  <si>
    <t>Ký hiệu</t>
  </si>
  <si>
    <t>Giá trị (VNĐ)</t>
  </si>
  <si>
    <t>Chi phí trực tiếp (Vật liệu, Nhân công, Máy)</t>
  </si>
  <si>
    <t>Link từ Sheet QS (Ô L55)</t>
  </si>
  <si>
    <t>T</t>
  </si>
  <si>
    <t>Chi phí gián tiếp</t>
  </si>
  <si>
    <t>GT = T x 7,3% (Công trình giao thông theo tuyến)</t>
  </si>
  <si>
    <t>GT</t>
  </si>
  <si>
    <t xml:space="preserve">  - Chi phí chung</t>
  </si>
  <si>
    <t>5,1% x T</t>
  </si>
  <si>
    <t>T_chung</t>
  </si>
  <si>
    <t xml:space="preserve">  - Chi phí xây dựng nhà tạm để ở và điều hành thi công</t>
  </si>
  <si>
    <t>1,2% x T</t>
  </si>
  <si>
    <t>T_tam</t>
  </si>
  <si>
    <t xml:space="preserve">  - Chi phí một số công việc không xác định được KL từ TK</t>
  </si>
  <si>
    <t>1,0% x T</t>
  </si>
  <si>
    <t>T_kxd</t>
  </si>
  <si>
    <t>Thu nhập chịu thuế tính trước</t>
  </si>
  <si>
    <t>TL = (T + GT) x 5,5%</t>
  </si>
  <si>
    <t>TL</t>
  </si>
  <si>
    <t>Chi phí xây dựng trước thuế</t>
  </si>
  <si>
    <t>G = T + GT + TL</t>
  </si>
  <si>
    <t>G</t>
  </si>
  <si>
    <t>Thuế giá trị gia tăng (VAT)</t>
  </si>
  <si>
    <t>VAT = G x 8%</t>
  </si>
  <si>
    <t>VAT</t>
  </si>
  <si>
    <t>TỔNG CỘNG CHI PHÍ XÂY DỰNG DỰ TOÁN (G_XD)</t>
  </si>
  <si>
    <t>G_XD = G + VAT</t>
  </si>
  <si>
    <t>G_XD</t>
  </si>
  <si>
    <t>BẢNG TỔ HỢP CẮT THÉP CÂY NGUYÊN 11.7m (1D CUTTING STOCK)</t>
  </si>
  <si>
    <t>Tối ưu hóa sơ đồ cắt, tính số lượng thanh, phôi thừa đề-xê (&lt; 1.8%) và tổng khối lượng thép</t>
  </si>
  <si>
    <t>Cấu kiện sử dụng</t>
  </si>
  <si>
    <t>Ký hiệu
đường kính (mm)</t>
  </si>
  <si>
    <t>Số lượng
thanh (N)</t>
  </si>
  <si>
    <t>Dài 1 thanh
L (m)</t>
  </si>
  <si>
    <t>Tổng chiều dài
(m) = N x L</t>
  </si>
  <si>
    <t>Dài cây tiêu chuẩn
(m)</t>
  </si>
  <si>
    <t>Số cây 11.7m
cần dùng</t>
  </si>
  <si>
    <t>Chiều dài phôi
(m)</t>
  </si>
  <si>
    <t>Đề-xê thừa
(m)</t>
  </si>
  <si>
    <t>Tổng trọng lượng
(kg)</t>
  </si>
  <si>
    <t>Tỷ lệ hao hụt
(%)</t>
  </si>
  <si>
    <t>Bệ móng M1, M2 - Thép chịu lực đáy</t>
  </si>
  <si>
    <t>Bệ móng M1, M2 - Thép phân bố</t>
  </si>
  <si>
    <t>Bệ móng M1, M2 - Đai tăng cường</t>
  </si>
  <si>
    <t>TỔNG CỘNG THÉP MÓNG VÀ MỐ CẦU M1, M2 (LINK SANG SHEET QS)</t>
  </si>
  <si>
    <t>Dầm T 15m - Thép chủ chịu uốn (hàn nối so le)</t>
  </si>
  <si>
    <t>Dầm T 15m - Thép sườn chống nứt</t>
  </si>
  <si>
    <t>Dầm T 15m - Thép đai chống cắt</t>
  </si>
  <si>
    <t>TỔNG CỘNG THÉP 4 PHIẾN DẦM T 15M (LINK SANG SHEET QS)</t>
  </si>
  <si>
    <t>Tường chắn taluy - Thép đứng chịu lực</t>
  </si>
  <si>
    <t>Tường chắn taluy - Thép đai phân bố</t>
  </si>
  <si>
    <t>TỔNG CỘNG THÉP TƯỜNG CHẮN TALUY (LINK SANG SHEET QS)</t>
  </si>
  <si>
    <t>TỔNG CỘNG VẬT TƯ THÉP TOÀN DỰ ÁN</t>
  </si>
  <si>
    <t>BẢNG TÍNH KHỐI LƯỢNG ĐÀO ĐẮP THEO MẶT CẮT TRẮC NGANG THIẾT KẾ</t>
  </si>
  <si>
    <t>Công thức tính thể tích: V = ((F1 + F2) / 2) x L (Liên kết động 100% sang Sheet Tiên lượng QS)</t>
  </si>
  <si>
    <t>Tên cọc</t>
  </si>
  <si>
    <t>Lý trình</t>
  </si>
  <si>
    <t>Khoảng cách
L (m)</t>
  </si>
  <si>
    <t>Diện tích đào đất
F_dat (m2)</t>
  </si>
  <si>
    <t>Khối lượng đất
V_dat (m3)</t>
  </si>
  <si>
    <t>Diện tích đào đá
F_da (m2)</t>
  </si>
  <si>
    <t>Khối lượng đá
V_da (m3)</t>
  </si>
  <si>
    <t>Diện tích khuôn
F_khuon (m2)</t>
  </si>
  <si>
    <t>Khối lượng khuôn
V_khuon (m3)</t>
  </si>
  <si>
    <t>TC227</t>
  </si>
  <si>
    <t>Km14+300.00</t>
  </si>
  <si>
    <t>C407</t>
  </si>
  <si>
    <t>Km14+320.00</t>
  </si>
  <si>
    <t>C408</t>
  </si>
  <si>
    <t>Km14+340.00</t>
  </si>
  <si>
    <t>M1 (Mố 1)</t>
  </si>
  <si>
    <t>Km14+355.00</t>
  </si>
  <si>
    <t>M2 (Mố 2)</t>
  </si>
  <si>
    <t>Km14+370.00</t>
  </si>
  <si>
    <t>C409</t>
  </si>
  <si>
    <t>Km14+385.00</t>
  </si>
  <si>
    <t>P231</t>
  </si>
  <si>
    <t>Km14+400.00</t>
  </si>
  <si>
    <t>C410</t>
  </si>
  <si>
    <t>Km14+415.00</t>
  </si>
  <si>
    <t>C410A</t>
  </si>
  <si>
    <t>Km14+430.00</t>
  </si>
  <si>
    <t>410B</t>
  </si>
  <si>
    <t>Km14+440.00</t>
  </si>
  <si>
    <t>TỔNG CỘNG TOÀN TUYẾN (LINK SANG SHEET QS)</t>
  </si>
  <si>
    <t>BẢNG TIẾN ĐỘ THI CÔNG CHI TIẾT WBS &amp; BIỂU ĐỒ GANTT CHART TIẾN ĐỘ ĐƯỜNG GĂNG (CPM)</t>
  </si>
  <si>
    <t>Căn cứ Định mức dự toán TT 12/2021/TT-BXD, Luật Xây dựng 135/2025/QH15 &amp; Nghị định 207/2026/NĐ-CP (Khối lượng link từ Sheet QS)</t>
  </si>
  <si>
    <t>THÁNG 10/2026</t>
  </si>
  <si>
    <t>THÁNG 11/2026</t>
  </si>
  <si>
    <t>THÁNG 12/2026</t>
  </si>
  <si>
    <t>THÁNG 01/2027</t>
  </si>
  <si>
    <t>THÁNG 02/2027</t>
  </si>
  <si>
    <t>THÁNG 03/2027</t>
  </si>
  <si>
    <t>Mã WBS</t>
  </si>
  <si>
    <t>Danh mục công tác thi công</t>
  </si>
  <si>
    <t>Khối lượng</t>
  </si>
  <si>
    <t>Định mức
(công/ĐVT)</t>
  </si>
  <si>
    <t>Tổng công
(công)</t>
  </si>
  <si>
    <t>Tổ đội
(người)</t>
  </si>
  <si>
    <t>Thời gian
Duration</t>
  </si>
  <si>
    <t>Ngày bắt đầu
Start</t>
  </si>
  <si>
    <t>Ngày xong
Finish</t>
  </si>
  <si>
    <t>Quan hệ
Predecessors</t>
  </si>
  <si>
    <t>Đường găng
CPM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</si>
  <si>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</si>
  <si>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</si>
  <si>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</si>
  <si>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</si>
  <si>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</si>
  <si>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</si>
  <si>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</si>
  <si>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</si>
  <si>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</si>
  <si>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</si>
  <si>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</si>
  <si>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</si>
  <si>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</si>
  <si>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</si>
  <si>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</si>
  <si>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</si>
  <si>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</si>
  <si>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</si>
  <si>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</si>
  <si>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</si>
  <si>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</si>
  <si>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</si>
  <si>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</si>
  <si>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</si>
  <si>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</si>
  <si>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01/10</t>
  </si>
  <si>
    <t>08/10</t>
  </si>
  <si>
    <t>15/10</t>
  </si>
  <si>
    <t>22/10</t>
  </si>
  <si>
    <t>29/10</t>
  </si>
  <si>
    <t>05/11</t>
  </si>
  <si>
    <t>12/11</t>
  </si>
  <si>
    <t>19/11</t>
  </si>
  <si>
    <t>26/11</t>
  </si>
  <si>
    <t>03/12</t>
  </si>
  <si>
    <t>10/12</t>
  </si>
  <si>
    <t>17/12</t>
  </si>
  <si>
    <t>24/12</t>
  </si>
  <si>
    <t>31/12</t>
  </si>
  <si>
    <t>07/01</t>
  </si>
  <si>
    <t>14/01</t>
  </si>
  <si>
    <t>21/01</t>
  </si>
  <si>
    <t>28/01</t>
  </si>
  <si>
    <t>04/02</t>
  </si>
  <si>
    <t>11/02</t>
  </si>
  <si>
    <t>18/02</t>
  </si>
  <si>
    <t>25/02</t>
  </si>
  <si>
    <t>04/03</t>
  </si>
  <si>
    <t>11/03</t>
  </si>
  <si>
    <t>18/03</t>
  </si>
  <si>
    <t>1.0</t>
  </si>
  <si>
    <t>19 ngày</t>
  </si>
  <si>
    <t>01/10/2026</t>
  </si>
  <si>
    <t>19/10/2026</t>
  </si>
  <si>
    <t>YES</t>
  </si>
  <si>
    <t>▬</t>
  </si>
  <si>
    <t>1.1</t>
  </si>
  <si>
    <t>Bàn giao tim mốc, cọc cao độ mốc tọa độ VN2000</t>
  </si>
  <si>
    <t>2026-10-01</t>
  </si>
  <si>
    <t>2026-10-02</t>
  </si>
  <si>
    <t>-</t>
  </si>
  <si>
    <t>█</t>
  </si>
  <si>
    <t>1.2</t>
  </si>
  <si>
    <t>Rà phá bom mìn, dọn dẹp mặt bằng thi công &amp; lán trại</t>
  </si>
  <si>
    <t>2026-10-03</t>
  </si>
  <si>
    <t>2026-10-07</t>
  </si>
  <si>
    <t>1.1FS</t>
  </si>
  <si>
    <t>1.3</t>
  </si>
  <si>
    <t>Thi công đường công vụ vượt suối, bãi đúc dầm &amp; bãi tập kết</t>
  </si>
  <si>
    <t>Hệ</t>
  </si>
  <si>
    <t>2026-10-08</t>
  </si>
  <si>
    <t>2026-10-19</t>
  </si>
  <si>
    <t>1.2FS</t>
  </si>
  <si>
    <t>2.0</t>
  </si>
  <si>
    <t>75 ngày</t>
  </si>
  <si>
    <t>20/10/2026</t>
  </si>
  <si>
    <t>03/01/2027</t>
  </si>
  <si>
    <t>2.1</t>
  </si>
  <si>
    <t>Đào hố móng bệ mố M1, M2 ngàm vào nền đá gốc</t>
  </si>
  <si>
    <t>2026-10-20</t>
  </si>
  <si>
    <t>2026-10-27</t>
  </si>
  <si>
    <t>1.3FS</t>
  </si>
  <si>
    <t>2.2</t>
  </si>
  <si>
    <t>Khoan lỗ và cắm 98 thanh thép neo D32 L=1.0m</t>
  </si>
  <si>
    <t>Thanh</t>
  </si>
  <si>
    <t>2026-10-28</t>
  </si>
  <si>
    <t>2026-11-01</t>
  </si>
  <si>
    <t>2.1FS</t>
  </si>
  <si>
    <t>2.3</t>
  </si>
  <si>
    <t>Rải đá dăm đệm và đổ bê tông lót đáy bệ móng mố</t>
  </si>
  <si>
    <t>2026-11-02</t>
  </si>
  <si>
    <t>2026-11-03</t>
  </si>
  <si>
    <t>2.2FS</t>
  </si>
  <si>
    <t>2.4</t>
  </si>
  <si>
    <t>Gia công lắp dựng cốt thép bệ móng mố M1, M2 (D16, D22, D25)</t>
  </si>
  <si>
    <t>Tấn</t>
  </si>
  <si>
    <t>2026-11-04</t>
  </si>
  <si>
    <t>2026-11-08</t>
  </si>
  <si>
    <t>2.3FS</t>
  </si>
  <si>
    <t>2.5</t>
  </si>
  <si>
    <t>Lắp dựng ván khuôn bệ móng mố M1, M2</t>
  </si>
  <si>
    <t>2026-11-09</t>
  </si>
  <si>
    <t>2026-11-15</t>
  </si>
  <si>
    <t>2.4FS</t>
  </si>
  <si>
    <t>2.6</t>
  </si>
  <si>
    <t>Đổ bê tông bệ móng mố M1, M2 (30 MPa kết hợp đầm dùi)</t>
  </si>
  <si>
    <t>2026-11-16</t>
  </si>
  <si>
    <t>2026-11-22</t>
  </si>
  <si>
    <t>2.5FS</t>
  </si>
  <si>
    <t>2.7</t>
  </si>
  <si>
    <t>Bảo dưỡng bê tông bệ móng mố (chờ đạt cường độ R7)</t>
  </si>
  <si>
    <t>Đợt</t>
  </si>
  <si>
    <t>2026-11-23</t>
  </si>
  <si>
    <t>2026-11-29</t>
  </si>
  <si>
    <t>2.6FS</t>
  </si>
  <si>
    <t>2.8</t>
  </si>
  <si>
    <t>Gia công lắp dựng cốt thép thân mố, tường cánh, tường đỉnh M1, M2</t>
  </si>
  <si>
    <t>2026-11-30</t>
  </si>
  <si>
    <t>2026-12-04</t>
  </si>
  <si>
    <t>2.7FS</t>
  </si>
  <si>
    <t>2.9</t>
  </si>
  <si>
    <t>Lắp dựng ván khuôn thân mố, tường cánh và xà mũ mố</t>
  </si>
  <si>
    <t>2026-12-05</t>
  </si>
  <si>
    <t>2026-12-13</t>
  </si>
  <si>
    <t>2.8FS</t>
  </si>
  <si>
    <t>2.10</t>
  </si>
  <si>
    <t>Đổ bê tông thân mố, tường cánh, tường đỉnh M1, M2 (30 MPa)</t>
  </si>
  <si>
    <t>2026-12-14</t>
  </si>
  <si>
    <t>2026-12-16</t>
  </si>
  <si>
    <t>2.9FS</t>
  </si>
  <si>
    <t>2.11</t>
  </si>
  <si>
    <t>Đổ bê tông đá kê gối &amp; lắp đặt 8 gối cao su bản thép</t>
  </si>
  <si>
    <t>Bộ</t>
  </si>
  <si>
    <t>2026-12-17</t>
  </si>
  <si>
    <t>2026-12-20</t>
  </si>
  <si>
    <t>2.10FS</t>
  </si>
  <si>
    <t>2.12</t>
  </si>
  <si>
    <t>Đắp đất chọn lọc lòng mố (K98) &amp; quét nhựa đường chống thấm</t>
  </si>
  <si>
    <t>2026-12-21</t>
  </si>
  <si>
    <t>2027-01-03</t>
  </si>
  <si>
    <t>2.11FS</t>
  </si>
  <si>
    <t>NO</t>
  </si>
  <si>
    <t>3.0</t>
  </si>
  <si>
    <t>79 ngày</t>
  </si>
  <si>
    <t>20/11/2026</t>
  </si>
  <si>
    <t>06/02/2027</t>
  </si>
  <si>
    <t>3.1</t>
  </si>
  <si>
    <t>Gia công lắp dựng cốt thép 4 phiến dầm T L=15m tại bãi đúc</t>
  </si>
  <si>
    <t>2026-11-20</t>
  </si>
  <si>
    <t>2026-12-22</t>
  </si>
  <si>
    <t>2.6SS+3d</t>
  </si>
  <si>
    <t>3.2</t>
  </si>
  <si>
    <t>Lắp dựng ván khuôn thép định hình dầm T 15m</t>
  </si>
  <si>
    <t>2026-12-23</t>
  </si>
  <si>
    <t>3.1FS</t>
  </si>
  <si>
    <t>3.3</t>
  </si>
  <si>
    <t>Đổ bê tông 4 phiến dầm T 15m (Bê tông C40/C35 mác cao)</t>
  </si>
  <si>
    <t>2027-01-04</t>
  </si>
  <si>
    <t>2027-01-05</t>
  </si>
  <si>
    <t>3.2FS</t>
  </si>
  <si>
    <t>3.4</t>
  </si>
  <si>
    <t>Dưỡng hộ bê tông dầm T đủ 28 ngày đạt cường độ thiết kế</t>
  </si>
  <si>
    <t>2027-01-06</t>
  </si>
  <si>
    <t>2027-02-02</t>
  </si>
  <si>
    <t>3.3FS</t>
  </si>
  <si>
    <t>3.5</t>
  </si>
  <si>
    <t>Vận chuyển và cẩu lắp 4 phiến dầm T vào vị trí mố M1, M2</t>
  </si>
  <si>
    <t>Phiến</t>
  </si>
  <si>
    <t>2027-02-03</t>
  </si>
  <si>
    <t>2027-02-04</t>
  </si>
  <si>
    <t>2.11FS,3.4FS</t>
  </si>
  <si>
    <t>3.6</t>
  </si>
  <si>
    <t>Lắp cốt thép, ván khuôn &amp; đổ bê tông dầm ngang, mối nối ướt</t>
  </si>
  <si>
    <t>2027-02-05</t>
  </si>
  <si>
    <t>2027-02-06</t>
  </si>
  <si>
    <t>3.5FS</t>
  </si>
  <si>
    <t>4.0</t>
  </si>
  <si>
    <t>45 ngày</t>
  </si>
  <si>
    <t>07/02/2027</t>
  </si>
  <si>
    <t>23/03/2027</t>
  </si>
  <si>
    <t>4.1</t>
  </si>
  <si>
    <t>Lắp dựng cốt thép bản mặt cầu (lưới thép D6) &amp; ván khuôn treo</t>
  </si>
  <si>
    <t>2027-02-07</t>
  </si>
  <si>
    <t>2027-02-08</t>
  </si>
  <si>
    <t>3.6FS</t>
  </si>
  <si>
    <t>4.2</t>
  </si>
  <si>
    <t>Đổ bê tông bản mặt cầu tại chỗ (Bê tông 30 MPa)</t>
  </si>
  <si>
    <t>2027-02-09</t>
  </si>
  <si>
    <t>2027-02-10</t>
  </si>
  <si>
    <t>4.1FS</t>
  </si>
  <si>
    <t>4.3</t>
  </si>
  <si>
    <t>Dưỡng hộ bê tông bản mặt cầu (chờ đạt cường độ R14)</t>
  </si>
  <si>
    <t>2027-02-11</t>
  </si>
  <si>
    <t>2027-02-24</t>
  </si>
  <si>
    <t>4.2FS</t>
  </si>
  <si>
    <t>4.4</t>
  </si>
  <si>
    <t>Đổ gờ lan can bê tông, lắp dựng lan can thép mạ kẽm &amp; ống thoát D150</t>
  </si>
  <si>
    <t>md</t>
  </si>
  <si>
    <t>2027-02-25</t>
  </si>
  <si>
    <t>2027-02-27</t>
  </si>
  <si>
    <t>4.3FS</t>
  </si>
  <si>
    <t>4.5</t>
  </si>
  <si>
    <t>Lắp đặt 02 khe co giãn thép răng lược HP50 &amp; chèn vữa 50 MPa</t>
  </si>
  <si>
    <t>2027-02-28</t>
  </si>
  <si>
    <t>2027-03-03</t>
  </si>
  <si>
    <t>4.6</t>
  </si>
  <si>
    <t>Phun lớp chống thấm mặt cầu &amp; thảm bê tông nhựa C12.5 dày 7cm</t>
  </si>
  <si>
    <t>2027-03-04</t>
  </si>
  <si>
    <t>4.5FS</t>
  </si>
  <si>
    <t>4.7</t>
  </si>
  <si>
    <t>Thi công 2 bản quá độ BTCT 25 MPa &amp; đắp đất chuyển tiếp K95</t>
  </si>
  <si>
    <t>2027-03-05</t>
  </si>
  <si>
    <t>2027-03-06</t>
  </si>
  <si>
    <t>4.6FS</t>
  </si>
  <si>
    <t>4.8</t>
  </si>
  <si>
    <t>Gia cố ốp mái taluy mố bằng BTXM 20 MPa dày 20cm &amp; tường chắn</t>
  </si>
  <si>
    <t>2027-03-07</t>
  </si>
  <si>
    <t>2027-03-11</t>
  </si>
  <si>
    <t>4.7FS</t>
  </si>
  <si>
    <t>4.9</t>
  </si>
  <si>
    <t>Thi công kết cấu nền mặt đường hai đầu cầu nối tuyến</t>
  </si>
  <si>
    <t>Gói</t>
  </si>
  <si>
    <t>2027-03-12</t>
  </si>
  <si>
    <t>2027-03-19</t>
  </si>
  <si>
    <t>4.10</t>
  </si>
  <si>
    <t>Thử tải cầu, kiểm định tĩnh/động &amp; nghiệm thu bàn giao</t>
  </si>
  <si>
    <t>2027-03-20</t>
  </si>
  <si>
    <t>2027-03-23</t>
  </si>
  <si>
    <t>4.9FS</t>
  </si>
  <si>
    <t>CHÚ GIẢI BIỂU ĐỒ GANTT:</t>
  </si>
  <si>
    <t>Công tác thuộc Đường găng Critical Path (CPM - Bắt buộc đúng hạn)</t>
  </si>
  <si>
    <t>Công tác không thuộc đường găng (Có thời gian dự trữ float)</t>
  </si>
  <si>
    <t>Tiến độ tổng hợp giai đoạn WBS (Summary Phase)</t>
  </si>
  <si>
    <t>BIỂU ĐỒ GANTT – DỰ ÁN CẦU THÔN KHAI HOANG 2</t>
  </si>
  <si>
    <t>Tên công việc / Giai đoạn</t>
  </si>
  <si>
    <t>Thời lượng (ngày)</t>
  </si>
  <si>
    <t>Ngày kết thúc</t>
  </si>
  <si>
    <t>Nhãn Gantt</t>
  </si>
  <si>
    <t>Offset</t>
  </si>
  <si>
    <t>Duration</t>
  </si>
  <si>
    <t>Nguồn dữ liệu: TIEN_DO_THI_CONG_WBS | Ngày bắt đầu/kết thúc và CPM lấy trực tiếp từ WBS</t>
  </si>
  <si>
    <t>Ngày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</si>
</sst>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#,##0.0"/>
  </numFmts>
  <fonts count="27" x14ac:knownFonts="1">
    <font>
      <sz val="11"/>
      <color theme="1"/>
      <name val="Arial"/>
      <family val="2"/>
      <scheme val="minor"/>
    </font>
    <font>
      <b/>
      <sz val="13"/>
      <color rgb="FF1B365D"/>
      <name val="Times New Roman"/>
    </font>
    <font>
      <i/>
      <sz val="10"/>
      <color rgb="FF333333"/>
      <name val="Times New Roman"/>
    </font>
    <font>
      <b/>
      <sz val="10"/>
      <color rgb="FFFFFFFF"/>
      <name val="Times New Roman"/>
    </font>
    <font>
      <b/>
      <sz val="11"/>
      <color rgb="FF002060"/>
      <name val="Times New Roman"/>
    </font>
    <font>
      <b/>
      <sz val="10"/>
      <name val="Times New Roman"/>
    </font>
    <font>
      <i/>
      <sz val="9"/>
      <color rgb="FF555555"/>
      <name val="Times New Roman"/>
    </font>
    <font>
      <b/>
      <sz val="11"/>
      <color rgb="FFC00000"/>
      <name val="Times New Roman"/>
    </font>
    <font>
      <i/>
      <sz val="11"/>
      <color theme="1"/>
      <name val="Arial"/>
      <family val="2"/>
      <scheme val="minor"/>
    </font>
    <font>
      <sz val="11"/>
      <color rgb="FF0070C0"/>
      <name val="Arial"/>
      <family val="2"/>
      <scheme val="minor"/>
    </font>
    <font>
      <b/>
      <sz val="13"/>
      <color rgb="FF1F497D"/>
      <name val="Times New Roman"/>
    </font>
    <font>
      <b/>
      <sz val="10"/>
      <color rgb="FF1F497D"/>
      <name val="Times New Roman"/>
    </font>
    <font>
      <i/>
      <sz val="10"/>
      <color rgb="FF595959"/>
      <name val="Times New Roman"/>
    </font>
    <font>
      <b/>
      <sz val="9"/>
      <color rgb="FFFFFFFF"/>
      <name val="Times New Roman"/>
    </font>
    <font>
      <b/>
      <sz val="8"/>
      <color rgb="FFFFFFFF"/>
      <name val="Times New Roman"/>
    </font>
    <font>
      <sz val="7"/>
      <color rgb="FF595959"/>
      <name val="Times New Roman"/>
    </font>
    <font>
      <b/>
      <sz val="9"/>
      <name val="Times New Roman"/>
    </font>
    <font>
      <b/>
      <sz val="8"/>
      <color rgb="FFFFFFFF"/>
      <name val="Arial"/>
    </font>
    <font>
      <sz val="9"/>
      <name val="Times New Roman"/>
    </font>
    <font>
      <sz val="9"/>
      <color rgb="FFFFD9D9"/>
      <name val="Arial"/>
    </font>
    <font>
      <sz val="9"/>
      <color rgb="FFE0ECF8"/>
      <name val="Arial"/>
    </font>
    <font>
      <sz val="10"/>
      <color rgb="FFC00000"/>
      <name val="Arial"/>
    </font>
    <font>
      <sz val="10"/>
      <color rgb="FF4F81BD"/>
      <name val="Arial"/>
    </font>
    <font>
      <sz val="10"/>
      <color rgb="FF1F497D"/>
      <name val="Arial"/>
    </font>
    <font>
      <b/>
      <sz val="14"/>
      <color rgb="FFFFFFFF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1D233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244061"/>
        <bgColor rgb="FF244061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C00000"/>
        <bgColor rgb="FFC00000"/>
      </patternFill>
    </fill>
    <fill>
      <patternFill patternType="solid">
        <fgColor rgb="FF4F81BD"/>
        <bgColor rgb="FF4F81BD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4" fontId="5" fillId="0" borderId="1" xfId="0" applyNumberFormat="1" applyFont="1" applyBorder="1"/>
    <xf numFmtId="3" fontId="0" fillId="0" borderId="1" xfId="0" applyNumberFormat="1" applyBorder="1"/>
    <xf numFmtId="3" fontId="5" fillId="0" borderId="1" xfId="0" applyNumberFormat="1" applyFont="1" applyBorder="1"/>
    <xf numFmtId="0" fontId="6" fillId="0" borderId="1" xfId="0" applyFont="1" applyBorder="1"/>
    <xf numFmtId="4" fontId="0" fillId="0" borderId="1" xfId="0" applyNumberFormat="1" applyBorder="1"/>
    <xf numFmtId="3" fontId="5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164" fontId="0" fillId="0" borderId="1" xfId="0" applyNumberFormat="1" applyBorder="1"/>
    <xf numFmtId="0" fontId="5" fillId="4" borderId="1" xfId="0" applyFont="1" applyFill="1" applyBorder="1"/>
    <xf numFmtId="4" fontId="5" fillId="4" borderId="1" xfId="0" applyNumberFormat="1" applyFont="1" applyFill="1" applyBorder="1"/>
    <xf numFmtId="0" fontId="1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4" xfId="0" applyBorder="1"/>
    <xf numFmtId="0" fontId="14" fillId="8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0" fillId="9" borderId="4" xfId="0" applyFill="1" applyBorder="1"/>
    <xf numFmtId="0" fontId="17" fillId="6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4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right" vertical="center"/>
    </xf>
    <xf numFmtId="0" fontId="16" fillId="10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6" fillId="0" borderId="0" xfId="0" applyFont="1"/>
    <xf numFmtId="0" fontId="21" fillId="11" borderId="0" xfId="0" applyFont="1" applyFill="1" applyAlignment="1">
      <alignment horizontal="center" vertical="center" wrapText="1"/>
    </xf>
    <xf numFmtId="0" fontId="18" fillId="0" borderId="0" xfId="0" applyFont="1"/>
    <xf numFmtId="0" fontId="22" fillId="12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4" fillId="7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/>
    </xf>
    <xf numFmtId="0" fontId="8" fillId="0" borderId="0" xfId="0" applyFont="1"/>
    <xf numFmtId="0" fontId="0" fillId="0" borderId="0" xfId="0"/>
    <xf numFmtId="14" fontId="9" fillId="0" borderId="0" xfId="0" applyNumberFormat="1" applyFont="1"/>
    <xf numFmtId="14" fontId="0" fillId="0" borderId="0" xfId="0" applyNumberFormat="1"/>
    <xf numFmtId="0" fontId="24" fillId="5" borderId="5" xfId="0" applyNumberFormat="1" applyFont="1" applyFill="1" applyBorder="1" applyAlignment="1">
      <alignment horizontal="left"/>
    </xf>
    <xf numFmtId="0" fontId="25" fillId="13" borderId="6" xfId="0" applyNumberFormat="1" applyFont="1" applyFill="1" applyBorder="1" applyAlignment="1">
      <alignment horizontal="center"/>
    </xf>
    <xf numFmtId="1" fontId="26" fillId="1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 đồ Gantt – Tiến độ thi công WBS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BIEU_DO_GANTT!$J$4</c:f>
              <c:strCache>
                <c:ptCount val="1"/>
                <c:pt idx="0">
                  <c:v>Offset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BIEU_DO_GANTT!$I$5:$I$39</c:f>
              <c:strCache>
                <c:ptCount val="35"/>
                <c:pt idx="0">
                  <c:v>1.0 - 0</c:v>
                </c:pt>
                <c:pt idx="1">
                  <c:v>1.1 - Bàn giao tim mốc, cọc cao độ mốc tọa độ VN2000</c:v>
                </c:pt>
                <c:pt idx="2">
                  <c:v>1.2 - Rà phá bom mìn, dọn dẹp mặt bằng thi công &amp; lán trại</c:v>
                </c:pt>
                <c:pt idx="3">
                  <c:v>1.3 - Thi công đường công vụ vượt suối, bãi đúc dầm &amp; bãi tập kết</c:v>
                </c:pt>
                <c:pt idx="4">
                  <c:v>2.0 - 0</c:v>
                </c:pt>
                <c:pt idx="5">
                  <c:v>2.1 - Đào hố móng bệ mố M1, M2 ngàm vào nền đá gốc</c:v>
                </c:pt>
                <c:pt idx="6">
                  <c:v>2.2 - Khoan lỗ và cắm 98 thanh thép neo D32 L=1.0m</c:v>
                </c:pt>
                <c:pt idx="7">
                  <c:v>2.3 - Rải đá dăm đệm và đổ bê tông lót đáy bệ móng mố</c:v>
                </c:pt>
                <c:pt idx="8">
                  <c:v>2.4 - Gia công lắp dựng cốt thép bệ móng mố M1, M2 (D16, D22, D25)</c:v>
                </c:pt>
                <c:pt idx="9">
                  <c:v>2.5 - Lắp dựng ván khuôn bệ móng mố M1, M2</c:v>
                </c:pt>
                <c:pt idx="10">
                  <c:v>2.6 - Đổ bê tông bệ móng mố M1, M2 (30 MPa kết hợp đầm dùi)</c:v>
                </c:pt>
                <c:pt idx="11">
                  <c:v>2.7 - Bảo dưỡng bê tông bệ móng mố (chờ đạt cường độ R7)</c:v>
                </c:pt>
                <c:pt idx="12">
                  <c:v>2.8 - Gia công lắp dựng cốt thép thân mố, tường cánh, tường đỉnh M1, M2</c:v>
                </c:pt>
                <c:pt idx="13">
                  <c:v>2.9 - Lắp dựng ván khuôn thân mố, tường cánh và xà mũ mố</c:v>
                </c:pt>
                <c:pt idx="14">
                  <c:v>2.10 - Đổ bê tông thân mố, tường cánh, tường đỉnh M1, M2 (30 MPa)</c:v>
                </c:pt>
                <c:pt idx="15">
                  <c:v>2.11 - Đổ bê tông đá kê gối &amp; lắp đặt 8 gối cao su bản thép</c:v>
                </c:pt>
                <c:pt idx="16">
                  <c:v>2.12 - Đắp đất chọn lọc lòng mố (K98) &amp; quét nhựa đường chống thấm</c:v>
                </c:pt>
                <c:pt idx="17">
                  <c:v>3.0 - 0</c:v>
                </c:pt>
                <c:pt idx="18">
                  <c:v>3.1 - Gia công lắp dựng cốt thép 4 phiến dầm T L=15m tại bãi đúc</c:v>
                </c:pt>
                <c:pt idx="19">
                  <c:v>3.2 - Lắp dựng ván khuôn thép định hình dầm T 15m</c:v>
                </c:pt>
                <c:pt idx="20">
                  <c:v>3.3 - Đổ bê tông 4 phiến dầm T 15m (Bê tông C40/C35 mác cao)</c:v>
                </c:pt>
                <c:pt idx="21">
                  <c:v>3.4 - Dưỡng hộ bê tông dầm T đủ 28 ngày đạt cường độ thiết kế</c:v>
                </c:pt>
                <c:pt idx="22">
                  <c:v>3.5 - Vận chuyển và cẩu lắp 4 phiến dầm T vào vị trí mố M1, M2</c:v>
                </c:pt>
                <c:pt idx="23">
                  <c:v>3.6 - Lắp cốt thép, ván khuôn &amp; đổ bê tông dầm ngang, mối nối ướt</c:v>
                </c:pt>
                <c:pt idx="24">
                  <c:v>4.0 - 0</c:v>
                </c:pt>
                <c:pt idx="25">
                  <c:v>4.1 - Lắp dựng cốt thép bản mặt cầu (lưới thép D6) &amp; ván khuôn treo</c:v>
                </c:pt>
                <c:pt idx="26">
                  <c:v>4.2 - Đổ bê tông bản mặt cầu tại chỗ (Bê tông 30 MPa)</c:v>
                </c:pt>
                <c:pt idx="27">
                  <c:v>4.3 - Dưỡng hộ bê tông bản mặt cầu (chờ đạt cường độ R14)</c:v>
                </c:pt>
                <c:pt idx="28">
                  <c:v>4.4 - Đổ gờ lan can bê tông, lắp dựng lan can thép mạ kẽm &amp; ống thoát D150</c:v>
                </c:pt>
                <c:pt idx="29">
                  <c:v>4.5 - Lắp đặt 02 khe co giãn thép răng lược HP50 &amp; chèn vữa 50 MPa</c:v>
                </c:pt>
                <c:pt idx="30">
                  <c:v>4.6 - Phun lớp chống thấm mặt cầu &amp; thảm bê tông nhựa C12.5 dày 7cm</c:v>
                </c:pt>
                <c:pt idx="31">
                  <c:v>4.7 - Thi công 2 bản quá độ BTCT 25 MPa &amp; đắp đất chuyển tiếp K95</c:v>
                </c:pt>
                <c:pt idx="32">
                  <c:v>4.8 - Gia cố ốp mái taluy mố bằng BTXM 20 MPa dày 20cm &amp; tường chắn</c:v>
                </c:pt>
                <c:pt idx="33">
                  <c:v>4.9 - Thi công kết cấu nền mặt đường hai đầu cầu nối tuyến</c:v>
                </c:pt>
                <c:pt idx="34">
                  <c:v>4.10 - Thử tải cầu, kiểm định tĩnh/động &amp; nghiệm thu bàn giao</c:v>
                </c:pt>
              </c:strCache>
            </c:strRef>
          </c:cat>
          <c:val>
            <c:numRef>
              <c:f>BIEU_DO_GANTT!$J$5:$J$39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19</c:v>
                </c:pt>
                <c:pt idx="5">
                  <c:v>19</c:v>
                </c:pt>
                <c:pt idx="6">
                  <c:v>27</c:v>
                </c:pt>
                <c:pt idx="7">
                  <c:v>32</c:v>
                </c:pt>
                <c:pt idx="8">
                  <c:v>34</c:v>
                </c:pt>
                <c:pt idx="9">
                  <c:v>39</c:v>
                </c:pt>
                <c:pt idx="10">
                  <c:v>46</c:v>
                </c:pt>
                <c:pt idx="11">
                  <c:v>53</c:v>
                </c:pt>
                <c:pt idx="12">
                  <c:v>60</c:v>
                </c:pt>
                <c:pt idx="13">
                  <c:v>65</c:v>
                </c:pt>
                <c:pt idx="14">
                  <c:v>74</c:v>
                </c:pt>
                <c:pt idx="15">
                  <c:v>77</c:v>
                </c:pt>
                <c:pt idx="16">
                  <c:v>81</c:v>
                </c:pt>
                <c:pt idx="17">
                  <c:v>50</c:v>
                </c:pt>
                <c:pt idx="18">
                  <c:v>50</c:v>
                </c:pt>
                <c:pt idx="19">
                  <c:v>83</c:v>
                </c:pt>
                <c:pt idx="20">
                  <c:v>95</c:v>
                </c:pt>
                <c:pt idx="21">
                  <c:v>97</c:v>
                </c:pt>
                <c:pt idx="22">
                  <c:v>125</c:v>
                </c:pt>
                <c:pt idx="23">
                  <c:v>127</c:v>
                </c:pt>
                <c:pt idx="24">
                  <c:v>129</c:v>
                </c:pt>
                <c:pt idx="25">
                  <c:v>129</c:v>
                </c:pt>
                <c:pt idx="26">
                  <c:v>131</c:v>
                </c:pt>
                <c:pt idx="27">
                  <c:v>133</c:v>
                </c:pt>
                <c:pt idx="28">
                  <c:v>147</c:v>
                </c:pt>
                <c:pt idx="29">
                  <c:v>150</c:v>
                </c:pt>
                <c:pt idx="30">
                  <c:v>154</c:v>
                </c:pt>
                <c:pt idx="31">
                  <c:v>155</c:v>
                </c:pt>
                <c:pt idx="32">
                  <c:v>157</c:v>
                </c:pt>
                <c:pt idx="33">
                  <c:v>162</c:v>
                </c:pt>
                <c:pt idx="3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1-46EB-89EB-A7F8D5D75E00}"/>
            </c:ext>
          </c:extLst>
        </c:ser>
        <c:ser>
          <c:idx val="1"/>
          <c:order val="1"/>
          <c:tx>
            <c:strRef>
              <c:f>BIEU_DO_GANTT!$K$4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BIEU_DO_GANTT!$I$5:$I$39</c:f>
              <c:strCache>
                <c:ptCount val="35"/>
                <c:pt idx="0">
                  <c:v>1.0 - 0</c:v>
                </c:pt>
                <c:pt idx="1">
                  <c:v>1.1 - Bàn giao tim mốc, cọc cao độ mốc tọa độ VN2000</c:v>
                </c:pt>
                <c:pt idx="2">
                  <c:v>1.2 - Rà phá bom mìn, dọn dẹp mặt bằng thi công &amp; lán trại</c:v>
                </c:pt>
                <c:pt idx="3">
                  <c:v>1.3 - Thi công đường công vụ vượt suối, bãi đúc dầm &amp; bãi tập kết</c:v>
                </c:pt>
                <c:pt idx="4">
                  <c:v>2.0 - 0</c:v>
                </c:pt>
                <c:pt idx="5">
                  <c:v>2.1 - Đào hố móng bệ mố M1, M2 ngàm vào nền đá gốc</c:v>
                </c:pt>
                <c:pt idx="6">
                  <c:v>2.2 - Khoan lỗ và cắm 98 thanh thép neo D32 L=1.0m</c:v>
                </c:pt>
                <c:pt idx="7">
                  <c:v>2.3 - Rải đá dăm đệm và đổ bê tông lót đáy bệ móng mố</c:v>
                </c:pt>
                <c:pt idx="8">
                  <c:v>2.4 - Gia công lắp dựng cốt thép bệ móng mố M1, M2 (D16, D22, D25)</c:v>
                </c:pt>
                <c:pt idx="9">
                  <c:v>2.5 - Lắp dựng ván khuôn bệ móng mố M1, M2</c:v>
                </c:pt>
                <c:pt idx="10">
                  <c:v>2.6 - Đổ bê tông bệ móng mố M1, M2 (30 MPa kết hợp đầm dùi)</c:v>
                </c:pt>
                <c:pt idx="11">
                  <c:v>2.7 - Bảo dưỡng bê tông bệ móng mố (chờ đạt cường độ R7)</c:v>
                </c:pt>
                <c:pt idx="12">
                  <c:v>2.8 - Gia công lắp dựng cốt thép thân mố, tường cánh, tường đỉnh M1, M2</c:v>
                </c:pt>
                <c:pt idx="13">
                  <c:v>2.9 - Lắp dựng ván khuôn thân mố, tường cánh và xà mũ mố</c:v>
                </c:pt>
                <c:pt idx="14">
                  <c:v>2.10 - Đổ bê tông thân mố, tường cánh, tường đỉnh M1, M2 (30 MPa)</c:v>
                </c:pt>
                <c:pt idx="15">
                  <c:v>2.11 - Đổ bê tông đá kê gối &amp; lắp đặt 8 gối cao su bản thép</c:v>
                </c:pt>
                <c:pt idx="16">
                  <c:v>2.12 - Đắp đất chọn lọc lòng mố (K98) &amp; quét nhựa đường chống thấm</c:v>
                </c:pt>
                <c:pt idx="17">
                  <c:v>3.0 - 0</c:v>
                </c:pt>
                <c:pt idx="18">
                  <c:v>3.1 - Gia công lắp dựng cốt thép 4 phiến dầm T L=15m tại bãi đúc</c:v>
                </c:pt>
                <c:pt idx="19">
                  <c:v>3.2 - Lắp dựng ván khuôn thép định hình dầm T 15m</c:v>
                </c:pt>
                <c:pt idx="20">
                  <c:v>3.3 - Đổ bê tông 4 phiến dầm T 15m (Bê tông C40/C35 mác cao)</c:v>
                </c:pt>
                <c:pt idx="21">
                  <c:v>3.4 - Dưỡng hộ bê tông dầm T đủ 28 ngày đạt cường độ thiết kế</c:v>
                </c:pt>
                <c:pt idx="22">
                  <c:v>3.5 - Vận chuyển và cẩu lắp 4 phiến dầm T vào vị trí mố M1, M2</c:v>
                </c:pt>
                <c:pt idx="23">
                  <c:v>3.6 - Lắp cốt thép, ván khuôn &amp; đổ bê tông dầm ngang, mối nối ướt</c:v>
                </c:pt>
                <c:pt idx="24">
                  <c:v>4.0 - 0</c:v>
                </c:pt>
                <c:pt idx="25">
                  <c:v>4.1 - Lắp dựng cốt thép bản mặt cầu (lưới thép D6) &amp; ván khuôn treo</c:v>
                </c:pt>
                <c:pt idx="26">
                  <c:v>4.2 - Đổ bê tông bản mặt cầu tại chỗ (Bê tông 30 MPa)</c:v>
                </c:pt>
                <c:pt idx="27">
                  <c:v>4.3 - Dưỡng hộ bê tông bản mặt cầu (chờ đạt cường độ R14)</c:v>
                </c:pt>
                <c:pt idx="28">
                  <c:v>4.4 - Đổ gờ lan can bê tông, lắp dựng lan can thép mạ kẽm &amp; ống thoát D150</c:v>
                </c:pt>
                <c:pt idx="29">
                  <c:v>4.5 - Lắp đặt 02 khe co giãn thép răng lược HP50 &amp; chèn vữa 50 MPa</c:v>
                </c:pt>
                <c:pt idx="30">
                  <c:v>4.6 - Phun lớp chống thấm mặt cầu &amp; thảm bê tông nhựa C12.5 dày 7cm</c:v>
                </c:pt>
                <c:pt idx="31">
                  <c:v>4.7 - Thi công 2 bản quá độ BTCT 25 MPa &amp; đắp đất chuyển tiếp K95</c:v>
                </c:pt>
                <c:pt idx="32">
                  <c:v>4.8 - Gia cố ốp mái taluy mố bằng BTXM 20 MPa dày 20cm &amp; tường chắn</c:v>
                </c:pt>
                <c:pt idx="33">
                  <c:v>4.9 - Thi công kết cấu nền mặt đường hai đầu cầu nối tuyến</c:v>
                </c:pt>
                <c:pt idx="34">
                  <c:v>4.10 - Thử tải cầu, kiểm định tĩnh/động &amp; nghiệm thu bàn giao</c:v>
                </c:pt>
              </c:strCache>
            </c:strRef>
          </c:cat>
          <c:val>
            <c:numRef>
              <c:f>BIEU_DO_GANTT!$K$5:$K$39</c:f>
              <c:numCache>
                <c:formatCode>0</c:formatCode>
                <c:ptCount val="35"/>
                <c:pt idx="0">
                  <c:v>19</c:v>
                </c:pt>
                <c:pt idx="1">
                  <c:v>2</c:v>
                </c:pt>
                <c:pt idx="2">
                  <c:v>5</c:v>
                </c:pt>
                <c:pt idx="3">
                  <c:v>12</c:v>
                </c:pt>
                <c:pt idx="4">
                  <c:v>76</c:v>
                </c:pt>
                <c:pt idx="5">
                  <c:v>8</c:v>
                </c:pt>
                <c:pt idx="6">
                  <c:v>5</c:v>
                </c:pt>
                <c:pt idx="7">
                  <c:v>2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5</c:v>
                </c:pt>
                <c:pt idx="13">
                  <c:v>9</c:v>
                </c:pt>
                <c:pt idx="14">
                  <c:v>3</c:v>
                </c:pt>
                <c:pt idx="15">
                  <c:v>4</c:v>
                </c:pt>
                <c:pt idx="16">
                  <c:v>14</c:v>
                </c:pt>
                <c:pt idx="17">
                  <c:v>79</c:v>
                </c:pt>
                <c:pt idx="18">
                  <c:v>33</c:v>
                </c:pt>
                <c:pt idx="19">
                  <c:v>12</c:v>
                </c:pt>
                <c:pt idx="20">
                  <c:v>2</c:v>
                </c:pt>
                <c:pt idx="21">
                  <c:v>28</c:v>
                </c:pt>
                <c:pt idx="22">
                  <c:v>2</c:v>
                </c:pt>
                <c:pt idx="23">
                  <c:v>2</c:v>
                </c:pt>
                <c:pt idx="24">
                  <c:v>45</c:v>
                </c:pt>
                <c:pt idx="25">
                  <c:v>2</c:v>
                </c:pt>
                <c:pt idx="26">
                  <c:v>2</c:v>
                </c:pt>
                <c:pt idx="27">
                  <c:v>14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8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1-46EB-89EB-A7F8D5D75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882656"/>
        <c:axId val="841142320"/>
      </c:barChart>
      <c:catAx>
        <c:axId val="839882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Công việc WBS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41142320"/>
        <c:crosses val="autoZero"/>
        <c:auto val="1"/>
        <c:lblAlgn val="ctr"/>
        <c:lblOffset val="100"/>
        <c:noMultiLvlLbl val="0"/>
      </c:catAx>
      <c:valAx>
        <c:axId val="8411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Số ngày từ 01/10/2026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3988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22</xdr:col>
      <xdr:colOff>0</xdr:colOff>
      <xdr:row>29</xdr:row>
      <xdr:rowOff>0</xdr:rowOff>
    </xdr:to>
    <xdr:graphicFrame macro="">
      <xdr:nvGraphicFramePr>
        <xdr:cNvPr id="3" name="Gantt_WBS">
          <a:extLst>
            <a:ext uri="{FF2B5EF4-FFF2-40B4-BE49-F238E27FC236}">
              <a16:creationId xmlns:a16="http://schemas.microsoft.com/office/drawing/2014/main" id="{D3A9238F-420A-901D-B658-DD4E9F3BF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3C19A-B65A-4432-A11E-450B23D7C849}">
  <we:reference id="wa200010215" version="2.0.0.1" store="vi-VN" storeType="OMEX"/>
  <we:alternateReferences>
    <we:reference id="wa200010215" version="2.0.0.1" store="vi-VN" storeType="OMEX"/>
  </we:alternateReferences>
  <we:properties>
    <we:property name="bps.codex_control.document_id" value="&quot;b8f6cf1c-516a-458d-af9c-1a02247327bd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5"/>
  <sheetViews>
    <sheetView topLeftCell="A3" workbookViewId="0">
      <selection activeCell="K27" sqref="K27"/>
    </sheetView>
  </sheetViews>
  <sheetFormatPr defaultRowHeight="14" x14ac:dyDescent="0.3"/>
  <cols>
    <col min="1" max="1" width="2.9140625" bestFit="1" customWidth="1"/>
    <col min="2" max="2" width="10.83203125" customWidth="1"/>
    <col min="3" max="3" width="50" customWidth="1"/>
    <col min="4" max="4" width="11" customWidth="1"/>
    <col min="5" max="5" width="13" customWidth="1"/>
    <col min="6" max="7" width="11" customWidth="1"/>
    <col min="8" max="8" width="12" customWidth="1"/>
    <col min="9" max="9" width="11" customWidth="1"/>
    <col min="10" max="10" width="16" customWidth="1"/>
    <col min="11" max="11" width="11" customWidth="1"/>
    <col min="12" max="12" width="20" customWidth="1"/>
  </cols>
  <sheetData>
    <row r="2" spans="1:12" ht="16.5" customHeight="1" x14ac:dyDescent="0.35">
      <c r="B2" s="21" t="s">
        <v>83</v>
      </c>
    </row>
    <row r="3" spans="1:12" x14ac:dyDescent="0.3">
      <c r="B3" s="2" t="s">
        <v>84</v>
      </c>
    </row>
    <row r="5" spans="1:12" ht="32" customHeight="1" x14ac:dyDescent="0.3">
      <c r="A5" s="3" t="s">
        <v>85</v>
      </c>
      <c r="B5" s="3" t="s">
        <v>86</v>
      </c>
      <c r="C5" s="3" t="s">
        <v>87</v>
      </c>
      <c r="D5" s="3" t="s">
        <v>6</v>
      </c>
      <c r="E5" s="3" t="s">
        <v>88</v>
      </c>
      <c r="F5" s="3" t="s">
        <v>89</v>
      </c>
      <c r="G5" s="3" t="s">
        <v>90</v>
      </c>
      <c r="H5" s="3" t="s">
        <v>91</v>
      </c>
      <c r="I5" s="3" t="s">
        <v>92</v>
      </c>
      <c r="J5" s="3" t="s">
        <v>93</v>
      </c>
      <c r="K5" s="3" t="s">
        <v>94</v>
      </c>
      <c r="L5" s="3" t="s">
        <v>95</v>
      </c>
    </row>
    <row r="6" spans="1:12" ht="24" customHeight="1" x14ac:dyDescent="0.3">
      <c r="A6" s="47" t="s">
        <v>96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6"/>
    </row>
    <row r="7" spans="1:12" x14ac:dyDescent="0.3">
      <c r="A7" s="4">
        <v>1</v>
      </c>
      <c r="B7" s="4" t="s">
        <v>97</v>
      </c>
      <c r="C7" s="5" t="s">
        <v>98</v>
      </c>
      <c r="D7" s="4" t="s">
        <v>26</v>
      </c>
      <c r="E7" s="6"/>
      <c r="F7" s="6"/>
      <c r="G7" s="6"/>
      <c r="H7" s="6"/>
      <c r="I7" s="6"/>
      <c r="J7" s="7">
        <f>SUM(J8:J10)</f>
        <v>76.25</v>
      </c>
      <c r="K7" s="8">
        <v>145000</v>
      </c>
      <c r="L7" s="9">
        <f>J7*K7</f>
        <v>11056250</v>
      </c>
    </row>
    <row r="8" spans="1:12" x14ac:dyDescent="0.3">
      <c r="A8" s="4"/>
      <c r="B8" s="4"/>
      <c r="C8" s="10" t="s">
        <v>99</v>
      </c>
      <c r="D8" s="4" t="s">
        <v>26</v>
      </c>
      <c r="E8" s="8">
        <v>1</v>
      </c>
      <c r="F8" s="11">
        <v>6</v>
      </c>
      <c r="G8" s="11">
        <v>11</v>
      </c>
      <c r="H8" s="11">
        <v>0.5</v>
      </c>
      <c r="I8" s="11">
        <v>1</v>
      </c>
      <c r="J8" s="11">
        <f>E8*F8*G8*H8*I8</f>
        <v>33</v>
      </c>
      <c r="K8" s="6"/>
      <c r="L8" s="6"/>
    </row>
    <row r="9" spans="1:12" x14ac:dyDescent="0.3">
      <c r="A9" s="4"/>
      <c r="B9" s="4"/>
      <c r="C9" s="10" t="s">
        <v>100</v>
      </c>
      <c r="D9" s="4" t="s">
        <v>26</v>
      </c>
      <c r="E9" s="8">
        <v>1</v>
      </c>
      <c r="F9" s="11">
        <v>6.5</v>
      </c>
      <c r="G9" s="11">
        <v>11</v>
      </c>
      <c r="H9" s="11">
        <v>0.5</v>
      </c>
      <c r="I9" s="11">
        <v>1</v>
      </c>
      <c r="J9" s="11">
        <f>E9*F9*G9*H9*I9</f>
        <v>35.75</v>
      </c>
      <c r="K9" s="6"/>
      <c r="L9" s="6"/>
    </row>
    <row r="10" spans="1:12" x14ac:dyDescent="0.3">
      <c r="A10" s="4"/>
      <c r="B10" s="4"/>
      <c r="C10" s="10" t="s">
        <v>101</v>
      </c>
      <c r="D10" s="4" t="s">
        <v>26</v>
      </c>
      <c r="E10" s="8">
        <v>2</v>
      </c>
      <c r="F10" s="11">
        <v>6</v>
      </c>
      <c r="G10" s="11">
        <v>2.5</v>
      </c>
      <c r="H10" s="11">
        <v>0.5</v>
      </c>
      <c r="I10" s="11">
        <v>0.5</v>
      </c>
      <c r="J10" s="11">
        <f>E10*F10*G10*H10*I10</f>
        <v>7.5</v>
      </c>
      <c r="K10" s="6"/>
      <c r="L10" s="6"/>
    </row>
    <row r="11" spans="1:12" x14ac:dyDescent="0.3">
      <c r="A11" s="4">
        <v>2</v>
      </c>
      <c r="B11" s="4" t="s">
        <v>102</v>
      </c>
      <c r="C11" s="5" t="s">
        <v>103</v>
      </c>
      <c r="D11" s="4" t="s">
        <v>26</v>
      </c>
      <c r="E11" s="6"/>
      <c r="F11" s="6"/>
      <c r="G11" s="6"/>
      <c r="H11" s="6"/>
      <c r="I11" s="6"/>
      <c r="J11" s="7">
        <f>SUM(J12:J13)</f>
        <v>13.75</v>
      </c>
      <c r="K11" s="8">
        <v>385000</v>
      </c>
      <c r="L11" s="9">
        <f>J11*K11</f>
        <v>5293750</v>
      </c>
    </row>
    <row r="12" spans="1:12" x14ac:dyDescent="0.3">
      <c r="A12" s="4"/>
      <c r="B12" s="4"/>
      <c r="C12" s="10" t="s">
        <v>104</v>
      </c>
      <c r="D12" s="4" t="s">
        <v>26</v>
      </c>
      <c r="E12" s="8">
        <v>1</v>
      </c>
      <c r="F12" s="11">
        <v>6</v>
      </c>
      <c r="G12" s="11">
        <v>11</v>
      </c>
      <c r="H12" s="11">
        <v>0.1</v>
      </c>
      <c r="I12" s="11">
        <v>1</v>
      </c>
      <c r="J12" s="11">
        <f>E12*F12*G12*H12*I12</f>
        <v>6.6000000000000005</v>
      </c>
      <c r="K12" s="6"/>
      <c r="L12" s="6"/>
    </row>
    <row r="13" spans="1:12" x14ac:dyDescent="0.3">
      <c r="A13" s="4"/>
      <c r="B13" s="4"/>
      <c r="C13" s="10" t="s">
        <v>105</v>
      </c>
      <c r="D13" s="4" t="s">
        <v>26</v>
      </c>
      <c r="E13" s="8">
        <v>1</v>
      </c>
      <c r="F13" s="11">
        <v>6.5</v>
      </c>
      <c r="G13" s="11">
        <v>11</v>
      </c>
      <c r="H13" s="11">
        <v>0.1</v>
      </c>
      <c r="I13" s="11">
        <v>1</v>
      </c>
      <c r="J13" s="11">
        <f>E13*F13*G13*H13*I13</f>
        <v>7.15</v>
      </c>
      <c r="K13" s="6"/>
      <c r="L13" s="6"/>
    </row>
    <row r="14" spans="1:12" x14ac:dyDescent="0.3">
      <c r="A14" s="4">
        <v>3</v>
      </c>
      <c r="B14" s="4" t="s">
        <v>106</v>
      </c>
      <c r="C14" s="5" t="s">
        <v>107</v>
      </c>
      <c r="D14" s="4" t="s">
        <v>26</v>
      </c>
      <c r="E14" s="6"/>
      <c r="F14" s="6"/>
      <c r="G14" s="6"/>
      <c r="H14" s="6"/>
      <c r="I14" s="6"/>
      <c r="J14" s="7">
        <f>SUM(J15:J16)</f>
        <v>233.75</v>
      </c>
      <c r="K14" s="8">
        <v>1420000</v>
      </c>
      <c r="L14" s="9">
        <f>J14*K14</f>
        <v>331925000</v>
      </c>
    </row>
    <row r="15" spans="1:12" x14ac:dyDescent="0.3">
      <c r="A15" s="4"/>
      <c r="B15" s="4"/>
      <c r="C15" s="10" t="s">
        <v>108</v>
      </c>
      <c r="D15" s="4" t="s">
        <v>26</v>
      </c>
      <c r="E15" s="8">
        <v>1</v>
      </c>
      <c r="F15" s="11">
        <v>5</v>
      </c>
      <c r="G15" s="11">
        <v>11</v>
      </c>
      <c r="H15" s="11">
        <v>2</v>
      </c>
      <c r="I15" s="11">
        <v>1</v>
      </c>
      <c r="J15" s="11">
        <f>E15*F15*G15*H15*I15</f>
        <v>110</v>
      </c>
      <c r="K15" s="6"/>
      <c r="L15" s="6"/>
    </row>
    <row r="16" spans="1:12" x14ac:dyDescent="0.3">
      <c r="A16" s="4"/>
      <c r="B16" s="4"/>
      <c r="C16" s="10" t="s">
        <v>109</v>
      </c>
      <c r="D16" s="4" t="s">
        <v>26</v>
      </c>
      <c r="E16" s="8">
        <v>1</v>
      </c>
      <c r="F16" s="11">
        <v>5</v>
      </c>
      <c r="G16" s="11">
        <v>11</v>
      </c>
      <c r="H16" s="11">
        <v>2.25</v>
      </c>
      <c r="I16" s="11">
        <v>1</v>
      </c>
      <c r="J16" s="11">
        <f>E16*F16*G16*H16*I16</f>
        <v>123.75</v>
      </c>
      <c r="K16" s="6"/>
      <c r="L16" s="6"/>
    </row>
    <row r="17" spans="1:12" x14ac:dyDescent="0.3">
      <c r="A17" s="4">
        <v>4</v>
      </c>
      <c r="B17" s="4" t="s">
        <v>110</v>
      </c>
      <c r="C17" s="5" t="s">
        <v>111</v>
      </c>
      <c r="D17" s="4" t="s">
        <v>26</v>
      </c>
      <c r="E17" s="6"/>
      <c r="F17" s="6"/>
      <c r="G17" s="6"/>
      <c r="H17" s="6"/>
      <c r="I17" s="6"/>
      <c r="J17" s="7">
        <f>SUM(J18:J21)</f>
        <v>31.46</v>
      </c>
      <c r="K17" s="8">
        <v>1480000</v>
      </c>
      <c r="L17" s="9">
        <f>J17*K17</f>
        <v>46560800</v>
      </c>
    </row>
    <row r="18" spans="1:12" x14ac:dyDescent="0.3">
      <c r="A18" s="4"/>
      <c r="B18" s="4"/>
      <c r="C18" s="10" t="s">
        <v>112</v>
      </c>
      <c r="D18" s="4" t="s">
        <v>26</v>
      </c>
      <c r="E18" s="8">
        <v>1</v>
      </c>
      <c r="F18" s="11">
        <v>1.2</v>
      </c>
      <c r="G18" s="11">
        <v>9.6</v>
      </c>
      <c r="H18" s="11">
        <v>1.2</v>
      </c>
      <c r="I18" s="11">
        <v>1</v>
      </c>
      <c r="J18" s="11">
        <f>E18*F18*G18*H18*I18</f>
        <v>13.824</v>
      </c>
      <c r="K18" s="6"/>
      <c r="L18" s="6"/>
    </row>
    <row r="19" spans="1:12" x14ac:dyDescent="0.3">
      <c r="A19" s="4"/>
      <c r="B19" s="4"/>
      <c r="C19" s="10" t="s">
        <v>113</v>
      </c>
      <c r="D19" s="4" t="s">
        <v>26</v>
      </c>
      <c r="E19" s="8">
        <v>1</v>
      </c>
      <c r="F19" s="11">
        <v>1.2</v>
      </c>
      <c r="G19" s="11">
        <v>9.6</v>
      </c>
      <c r="H19" s="11">
        <v>1.2</v>
      </c>
      <c r="I19" s="11">
        <v>1</v>
      </c>
      <c r="J19" s="11">
        <f>E19*F19*G19*H19*I19</f>
        <v>13.824</v>
      </c>
      <c r="K19" s="6"/>
      <c r="L19" s="6"/>
    </row>
    <row r="20" spans="1:12" x14ac:dyDescent="0.3">
      <c r="A20" s="4"/>
      <c r="B20" s="4"/>
      <c r="C20" s="10" t="s">
        <v>114</v>
      </c>
      <c r="D20" s="4" t="s">
        <v>26</v>
      </c>
      <c r="E20" s="8">
        <v>2</v>
      </c>
      <c r="F20" s="11">
        <v>0.4</v>
      </c>
      <c r="G20" s="11">
        <v>9.1999999999999993</v>
      </c>
      <c r="H20" s="11">
        <v>0.45</v>
      </c>
      <c r="I20" s="11">
        <v>1</v>
      </c>
      <c r="J20" s="11">
        <f>E20*F20*G20*H20*I20</f>
        <v>3.3119999999999998</v>
      </c>
      <c r="K20" s="6"/>
      <c r="L20" s="6"/>
    </row>
    <row r="21" spans="1:12" x14ac:dyDescent="0.3">
      <c r="A21" s="4"/>
      <c r="B21" s="4"/>
      <c r="C21" s="10" t="s">
        <v>115</v>
      </c>
      <c r="D21" s="4" t="s">
        <v>26</v>
      </c>
      <c r="E21" s="8">
        <v>8</v>
      </c>
      <c r="F21" s="11">
        <v>0.5</v>
      </c>
      <c r="G21" s="11">
        <v>0.5</v>
      </c>
      <c r="H21" s="11">
        <v>0.25</v>
      </c>
      <c r="I21" s="11">
        <v>1</v>
      </c>
      <c r="J21" s="11">
        <f>E21*F21*G21*H21*I21</f>
        <v>0.5</v>
      </c>
      <c r="K21" s="6"/>
      <c r="L21" s="6"/>
    </row>
    <row r="22" spans="1:12" x14ac:dyDescent="0.3">
      <c r="A22" s="4">
        <v>5</v>
      </c>
      <c r="B22" s="4" t="s">
        <v>116</v>
      </c>
      <c r="C22" s="5" t="s">
        <v>117</v>
      </c>
      <c r="D22" s="4" t="s">
        <v>26</v>
      </c>
      <c r="E22" s="6"/>
      <c r="F22" s="6"/>
      <c r="G22" s="6"/>
      <c r="H22" s="6"/>
      <c r="I22" s="6"/>
      <c r="J22" s="7">
        <f>SUM(J23:J24)</f>
        <v>55.2</v>
      </c>
      <c r="K22" s="8">
        <v>1480000</v>
      </c>
      <c r="L22" s="9">
        <f>J22*K22</f>
        <v>81696000</v>
      </c>
    </row>
    <row r="23" spans="1:12" x14ac:dyDescent="0.3">
      <c r="A23" s="4"/>
      <c r="B23" s="4"/>
      <c r="C23" s="10" t="s">
        <v>118</v>
      </c>
      <c r="D23" s="4" t="s">
        <v>26</v>
      </c>
      <c r="E23" s="8">
        <v>4</v>
      </c>
      <c r="F23" s="11">
        <v>7.5</v>
      </c>
      <c r="G23" s="11">
        <v>0.4</v>
      </c>
      <c r="H23" s="11">
        <v>4.8</v>
      </c>
      <c r="I23" s="11">
        <v>0.5</v>
      </c>
      <c r="J23" s="11">
        <f>E23*F23*G23*H23*I23</f>
        <v>28.799999999999997</v>
      </c>
      <c r="K23" s="6"/>
      <c r="L23" s="6"/>
    </row>
    <row r="24" spans="1:12" x14ac:dyDescent="0.3">
      <c r="A24" s="4"/>
      <c r="B24" s="4"/>
      <c r="C24" s="10" t="s">
        <v>119</v>
      </c>
      <c r="D24" s="4" t="s">
        <v>26</v>
      </c>
      <c r="E24" s="8">
        <v>4</v>
      </c>
      <c r="F24" s="11">
        <v>5.5</v>
      </c>
      <c r="G24" s="11">
        <v>1.5</v>
      </c>
      <c r="H24" s="11">
        <v>0.8</v>
      </c>
      <c r="I24" s="11">
        <v>1</v>
      </c>
      <c r="J24" s="11">
        <f>E24*F24*G24*H24*I24</f>
        <v>26.400000000000002</v>
      </c>
      <c r="K24" s="6"/>
      <c r="L24" s="6"/>
    </row>
    <row r="25" spans="1:12" x14ac:dyDescent="0.3">
      <c r="A25" s="4">
        <v>6</v>
      </c>
      <c r="B25" s="4" t="s">
        <v>120</v>
      </c>
      <c r="C25" s="5" t="s">
        <v>121</v>
      </c>
      <c r="D25" s="4" t="s">
        <v>36</v>
      </c>
      <c r="E25" s="6"/>
      <c r="F25" s="6"/>
      <c r="G25" s="6"/>
      <c r="H25" s="6"/>
      <c r="I25" s="6"/>
      <c r="J25" s="11">
        <f>TO_HOP_CAT_THEP_11M7!K9/1000</f>
        <v>7.6810157999999999</v>
      </c>
      <c r="K25" s="8">
        <v>22500000</v>
      </c>
      <c r="L25" s="9">
        <f>J25*K25</f>
        <v>172822855.5</v>
      </c>
    </row>
    <row r="26" spans="1:12" x14ac:dyDescent="0.3">
      <c r="A26" s="4">
        <v>7</v>
      </c>
      <c r="B26" s="4" t="s">
        <v>122</v>
      </c>
      <c r="C26" s="5" t="s">
        <v>123</v>
      </c>
      <c r="D26" s="4" t="s">
        <v>31</v>
      </c>
      <c r="E26" s="6"/>
      <c r="F26" s="6"/>
      <c r="G26" s="6"/>
      <c r="H26" s="6"/>
      <c r="I26" s="6"/>
      <c r="J26" s="7">
        <f>SUM(J27:J28)</f>
        <v>196</v>
      </c>
      <c r="K26" s="8">
        <v>185000</v>
      </c>
      <c r="L26" s="9">
        <f>J26*K26</f>
        <v>36260000</v>
      </c>
    </row>
    <row r="27" spans="1:12" x14ac:dyDescent="0.3">
      <c r="A27" s="4"/>
      <c r="B27" s="4"/>
      <c r="C27" s="10" t="s">
        <v>124</v>
      </c>
      <c r="D27" s="4" t="s">
        <v>31</v>
      </c>
      <c r="E27" s="8">
        <v>98</v>
      </c>
      <c r="F27" s="11">
        <v>1</v>
      </c>
      <c r="G27" s="11">
        <v>1</v>
      </c>
      <c r="H27" s="11">
        <v>1</v>
      </c>
      <c r="I27" s="11">
        <v>1</v>
      </c>
      <c r="J27" s="11">
        <f>E27*F27*G27*H27*I27</f>
        <v>98</v>
      </c>
      <c r="K27" s="6"/>
      <c r="L27" s="6"/>
    </row>
    <row r="28" spans="1:12" x14ac:dyDescent="0.3">
      <c r="A28" s="4"/>
      <c r="B28" s="4"/>
      <c r="C28" s="10" t="s">
        <v>125</v>
      </c>
      <c r="D28" s="4" t="s">
        <v>31</v>
      </c>
      <c r="E28" s="8">
        <v>98</v>
      </c>
      <c r="F28" s="11">
        <v>1</v>
      </c>
      <c r="G28" s="11">
        <v>1</v>
      </c>
      <c r="H28" s="11">
        <v>1</v>
      </c>
      <c r="I28" s="11">
        <v>1</v>
      </c>
      <c r="J28" s="11">
        <f>E28*F28*G28*H28*I28</f>
        <v>98</v>
      </c>
      <c r="K28" s="6"/>
      <c r="L28" s="6"/>
    </row>
    <row r="29" spans="1:12" ht="24" customHeight="1" x14ac:dyDescent="0.3">
      <c r="A29" s="47" t="s">
        <v>126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x14ac:dyDescent="0.3">
      <c r="A30" s="4">
        <v>8</v>
      </c>
      <c r="B30" s="4" t="s">
        <v>127</v>
      </c>
      <c r="C30" s="5" t="s">
        <v>128</v>
      </c>
      <c r="D30" s="4" t="s">
        <v>26</v>
      </c>
      <c r="E30" s="6"/>
      <c r="F30" s="6"/>
      <c r="G30" s="6"/>
      <c r="H30" s="6"/>
      <c r="I30" s="6"/>
      <c r="J30" s="7">
        <f>SUM(J31:J33)</f>
        <v>40.700000000000003</v>
      </c>
      <c r="K30" s="8">
        <v>1750000</v>
      </c>
      <c r="L30" s="9">
        <f>J30*K30</f>
        <v>71225000</v>
      </c>
    </row>
    <row r="31" spans="1:12" x14ac:dyDescent="0.3">
      <c r="A31" s="4"/>
      <c r="B31" s="4"/>
      <c r="C31" s="10" t="s">
        <v>129</v>
      </c>
      <c r="D31" s="4" t="s">
        <v>26</v>
      </c>
      <c r="E31" s="8">
        <v>4</v>
      </c>
      <c r="F31" s="11">
        <v>14.8</v>
      </c>
      <c r="G31" s="11">
        <v>0.45</v>
      </c>
      <c r="H31" s="11">
        <v>0.35</v>
      </c>
      <c r="I31" s="11">
        <v>1</v>
      </c>
      <c r="J31" s="11">
        <f>E31*F31*G31*H31*I31</f>
        <v>9.3239999999999998</v>
      </c>
      <c r="K31" s="6"/>
      <c r="L31" s="6"/>
    </row>
    <row r="32" spans="1:12" x14ac:dyDescent="0.3">
      <c r="A32" s="4"/>
      <c r="B32" s="4"/>
      <c r="C32" s="10" t="s">
        <v>130</v>
      </c>
      <c r="D32" s="4" t="s">
        <v>26</v>
      </c>
      <c r="E32" s="8">
        <v>4</v>
      </c>
      <c r="F32" s="11">
        <v>14.8</v>
      </c>
      <c r="G32" s="11">
        <v>0.2</v>
      </c>
      <c r="H32" s="11">
        <v>0.65</v>
      </c>
      <c r="I32" s="11">
        <v>1</v>
      </c>
      <c r="J32" s="11">
        <f>E32*F32*G32*H32*I32</f>
        <v>7.6960000000000015</v>
      </c>
      <c r="K32" s="6"/>
      <c r="L32" s="6"/>
    </row>
    <row r="33" spans="1:12" x14ac:dyDescent="0.3">
      <c r="A33" s="4"/>
      <c r="B33" s="4"/>
      <c r="C33" s="10" t="s">
        <v>131</v>
      </c>
      <c r="D33" s="4" t="s">
        <v>26</v>
      </c>
      <c r="E33" s="8">
        <v>4</v>
      </c>
      <c r="F33" s="11">
        <v>14.8</v>
      </c>
      <c r="G33" s="11">
        <v>2</v>
      </c>
      <c r="H33" s="11">
        <v>0.2</v>
      </c>
      <c r="I33" s="11">
        <v>1</v>
      </c>
      <c r="J33" s="11">
        <f>E33*F33*G33*H33*I33</f>
        <v>23.680000000000003</v>
      </c>
      <c r="K33" s="6"/>
      <c r="L33" s="6"/>
    </row>
    <row r="34" spans="1:12" x14ac:dyDescent="0.3">
      <c r="A34" s="4">
        <v>9</v>
      </c>
      <c r="B34" s="4" t="s">
        <v>132</v>
      </c>
      <c r="C34" s="5" t="s">
        <v>133</v>
      </c>
      <c r="D34" s="4" t="s">
        <v>36</v>
      </c>
      <c r="E34" s="6"/>
      <c r="F34" s="6"/>
      <c r="G34" s="6"/>
      <c r="H34" s="6"/>
      <c r="I34" s="6"/>
      <c r="J34" s="11">
        <f>TO_HOP_CAT_THEP_11M7!K13/1000</f>
        <v>6.7405920000000004</v>
      </c>
      <c r="K34" s="8">
        <v>23800000</v>
      </c>
      <c r="L34" s="9">
        <f>J34*K34</f>
        <v>160426089.59999999</v>
      </c>
    </row>
    <row r="35" spans="1:12" x14ac:dyDescent="0.3">
      <c r="A35" s="4">
        <v>10</v>
      </c>
      <c r="B35" s="4" t="s">
        <v>134</v>
      </c>
      <c r="C35" s="5" t="s">
        <v>135</v>
      </c>
      <c r="D35" s="4" t="s">
        <v>26</v>
      </c>
      <c r="E35" s="6"/>
      <c r="F35" s="6"/>
      <c r="G35" s="6"/>
      <c r="H35" s="6"/>
      <c r="I35" s="6"/>
      <c r="J35" s="7">
        <f>SUM(J36:J37)</f>
        <v>20.475000000000001</v>
      </c>
      <c r="K35" s="8">
        <v>1550000</v>
      </c>
      <c r="L35" s="9">
        <f>J35*K35</f>
        <v>31736250.000000004</v>
      </c>
    </row>
    <row r="36" spans="1:12" x14ac:dyDescent="0.3">
      <c r="A36" s="4"/>
      <c r="B36" s="4"/>
      <c r="C36" s="10" t="s">
        <v>136</v>
      </c>
      <c r="D36" s="4" t="s">
        <v>26</v>
      </c>
      <c r="E36" s="8">
        <v>1</v>
      </c>
      <c r="F36" s="11">
        <v>15</v>
      </c>
      <c r="G36" s="11">
        <v>8.5</v>
      </c>
      <c r="H36" s="11">
        <v>0.14000000000000001</v>
      </c>
      <c r="I36" s="11">
        <v>1</v>
      </c>
      <c r="J36" s="11">
        <f>E36*F36*G36*H36*I36</f>
        <v>17.850000000000001</v>
      </c>
      <c r="K36" s="6"/>
      <c r="L36" s="6"/>
    </row>
    <row r="37" spans="1:12" x14ac:dyDescent="0.3">
      <c r="A37" s="4"/>
      <c r="B37" s="4"/>
      <c r="C37" s="10" t="s">
        <v>137</v>
      </c>
      <c r="D37" s="4" t="s">
        <v>26</v>
      </c>
      <c r="E37" s="8">
        <v>2</v>
      </c>
      <c r="F37" s="11">
        <v>15</v>
      </c>
      <c r="G37" s="11">
        <v>0.35</v>
      </c>
      <c r="H37" s="11">
        <v>0.25</v>
      </c>
      <c r="I37" s="11">
        <v>1</v>
      </c>
      <c r="J37" s="11">
        <f>E37*F37*G37*H37*I37</f>
        <v>2.625</v>
      </c>
      <c r="K37" s="6"/>
      <c r="L37" s="6"/>
    </row>
    <row r="38" spans="1:12" x14ac:dyDescent="0.3">
      <c r="A38" s="4">
        <v>11</v>
      </c>
      <c r="B38" s="4" t="s">
        <v>138</v>
      </c>
      <c r="C38" s="5" t="s">
        <v>139</v>
      </c>
      <c r="D38" s="4" t="s">
        <v>26</v>
      </c>
      <c r="E38" s="6"/>
      <c r="F38" s="6"/>
      <c r="G38" s="6"/>
      <c r="H38" s="6"/>
      <c r="I38" s="6"/>
      <c r="J38" s="7">
        <f>SUM(J39:J40)</f>
        <v>22.08</v>
      </c>
      <c r="K38" s="8">
        <v>1480000</v>
      </c>
      <c r="L38" s="9">
        <f>J38*K38</f>
        <v>32678399.999999996</v>
      </c>
    </row>
    <row r="39" spans="1:12" x14ac:dyDescent="0.3">
      <c r="A39" s="4"/>
      <c r="B39" s="4"/>
      <c r="C39" s="10" t="s">
        <v>140</v>
      </c>
      <c r="D39" s="4" t="s">
        <v>26</v>
      </c>
      <c r="E39" s="8">
        <v>1</v>
      </c>
      <c r="F39" s="11">
        <v>4</v>
      </c>
      <c r="G39" s="11">
        <v>9.1999999999999993</v>
      </c>
      <c r="H39" s="11">
        <v>0.3</v>
      </c>
      <c r="I39" s="11">
        <v>1</v>
      </c>
      <c r="J39" s="11">
        <f>E39*F39*G39*H39*I39</f>
        <v>11.04</v>
      </c>
      <c r="K39" s="6"/>
      <c r="L39" s="6"/>
    </row>
    <row r="40" spans="1:12" x14ac:dyDescent="0.3">
      <c r="A40" s="4"/>
      <c r="B40" s="4"/>
      <c r="C40" s="10" t="s">
        <v>141</v>
      </c>
      <c r="D40" s="4" t="s">
        <v>26</v>
      </c>
      <c r="E40" s="8">
        <v>1</v>
      </c>
      <c r="F40" s="11">
        <v>4</v>
      </c>
      <c r="G40" s="11">
        <v>9.1999999999999993</v>
      </c>
      <c r="H40" s="11">
        <v>0.3</v>
      </c>
      <c r="I40" s="11">
        <v>1</v>
      </c>
      <c r="J40" s="11">
        <f>E40*F40*G40*H40*I40</f>
        <v>11.04</v>
      </c>
      <c r="K40" s="6"/>
      <c r="L40" s="6"/>
    </row>
    <row r="41" spans="1:12" x14ac:dyDescent="0.3">
      <c r="A41" s="4">
        <v>12</v>
      </c>
      <c r="B41" s="4" t="s">
        <v>142</v>
      </c>
      <c r="C41" s="5" t="s">
        <v>143</v>
      </c>
      <c r="D41" s="4" t="s">
        <v>58</v>
      </c>
      <c r="E41" s="8">
        <v>8</v>
      </c>
      <c r="F41" s="11">
        <v>1</v>
      </c>
      <c r="G41" s="11">
        <v>1</v>
      </c>
      <c r="H41" s="11">
        <v>1</v>
      </c>
      <c r="I41" s="11">
        <v>1</v>
      </c>
      <c r="J41" s="11">
        <f>E41*F41*G41*H41*I41</f>
        <v>8</v>
      </c>
      <c r="K41" s="8">
        <v>3200000</v>
      </c>
      <c r="L41" s="9">
        <f>J41*K41</f>
        <v>25600000</v>
      </c>
    </row>
    <row r="42" spans="1:12" x14ac:dyDescent="0.3">
      <c r="A42" s="4">
        <v>13</v>
      </c>
      <c r="B42" s="4" t="s">
        <v>144</v>
      </c>
      <c r="C42" s="5" t="s">
        <v>145</v>
      </c>
      <c r="D42" s="4" t="s">
        <v>69</v>
      </c>
      <c r="E42" s="8">
        <v>2</v>
      </c>
      <c r="F42" s="11">
        <v>9.1999999999999993</v>
      </c>
      <c r="G42" s="11">
        <v>1</v>
      </c>
      <c r="H42" s="11">
        <v>1</v>
      </c>
      <c r="I42" s="11">
        <v>1</v>
      </c>
      <c r="J42" s="11">
        <f>E42*F42*G42*H42*I42</f>
        <v>18.399999999999999</v>
      </c>
      <c r="K42" s="8">
        <v>2800000</v>
      </c>
      <c r="L42" s="9">
        <f>J42*K42</f>
        <v>51519999.999999993</v>
      </c>
    </row>
    <row r="43" spans="1:12" x14ac:dyDescent="0.3">
      <c r="A43" s="4">
        <v>14</v>
      </c>
      <c r="B43" s="4" t="s">
        <v>146</v>
      </c>
      <c r="C43" s="5" t="s">
        <v>147</v>
      </c>
      <c r="D43" s="4" t="s">
        <v>69</v>
      </c>
      <c r="E43" s="8">
        <v>2</v>
      </c>
      <c r="F43" s="11">
        <v>15</v>
      </c>
      <c r="G43" s="11">
        <v>1</v>
      </c>
      <c r="H43" s="11">
        <v>1</v>
      </c>
      <c r="I43" s="11">
        <v>1</v>
      </c>
      <c r="J43" s="11">
        <f>E43*F43*G43*H43*I43</f>
        <v>30</v>
      </c>
      <c r="K43" s="8">
        <v>1350000</v>
      </c>
      <c r="L43" s="9">
        <f>J43*K43</f>
        <v>40500000</v>
      </c>
    </row>
    <row r="44" spans="1:12" ht="24" customHeight="1" x14ac:dyDescent="0.3">
      <c r="A44" s="47" t="s">
        <v>148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6"/>
    </row>
    <row r="45" spans="1:12" x14ac:dyDescent="0.3">
      <c r="A45" s="4">
        <v>15</v>
      </c>
      <c r="B45" s="4" t="s">
        <v>149</v>
      </c>
      <c r="C45" s="5" t="s">
        <v>150</v>
      </c>
      <c r="D45" s="4" t="s">
        <v>26</v>
      </c>
      <c r="E45" s="6"/>
      <c r="F45" s="6"/>
      <c r="G45" s="6"/>
      <c r="H45" s="6"/>
      <c r="I45" s="6"/>
      <c r="J45" s="11">
        <f>KHOI_LUONG_DAO_DAP!F16</f>
        <v>3753.75</v>
      </c>
      <c r="K45" s="8">
        <v>45000</v>
      </c>
      <c r="L45" s="9">
        <f>J45*K45</f>
        <v>168918750</v>
      </c>
    </row>
    <row r="46" spans="1:12" x14ac:dyDescent="0.3">
      <c r="A46" s="4">
        <v>16</v>
      </c>
      <c r="B46" s="4" t="s">
        <v>151</v>
      </c>
      <c r="C46" s="5" t="s">
        <v>152</v>
      </c>
      <c r="D46" s="4" t="s">
        <v>26</v>
      </c>
      <c r="E46" s="6"/>
      <c r="F46" s="6"/>
      <c r="G46" s="6"/>
      <c r="H46" s="6"/>
      <c r="I46" s="6"/>
      <c r="J46" s="11">
        <f>KHOI_LUONG_DAO_DAP!H16</f>
        <v>3351</v>
      </c>
      <c r="K46" s="8">
        <v>185000</v>
      </c>
      <c r="L46" s="9">
        <f>J46*K46</f>
        <v>619935000</v>
      </c>
    </row>
    <row r="47" spans="1:12" x14ac:dyDescent="0.3">
      <c r="A47" s="4">
        <v>17</v>
      </c>
      <c r="B47" s="4" t="s">
        <v>153</v>
      </c>
      <c r="C47" s="5" t="s">
        <v>154</v>
      </c>
      <c r="D47" s="4" t="s">
        <v>26</v>
      </c>
      <c r="E47" s="6"/>
      <c r="F47" s="6"/>
      <c r="G47" s="6"/>
      <c r="H47" s="6"/>
      <c r="I47" s="6"/>
      <c r="J47" s="11">
        <f>KHOI_LUONG_DAO_DAP!J16</f>
        <v>168</v>
      </c>
      <c r="K47" s="8">
        <v>38000</v>
      </c>
      <c r="L47" s="9">
        <f>J47*K47</f>
        <v>6384000</v>
      </c>
    </row>
    <row r="48" spans="1:12" x14ac:dyDescent="0.3">
      <c r="A48" s="4">
        <v>18</v>
      </c>
      <c r="B48" s="4" t="s">
        <v>155</v>
      </c>
      <c r="C48" s="5" t="s">
        <v>156</v>
      </c>
      <c r="D48" s="4" t="s">
        <v>26</v>
      </c>
      <c r="E48" s="6"/>
      <c r="F48" s="6"/>
      <c r="G48" s="6"/>
      <c r="H48" s="6"/>
      <c r="I48" s="6"/>
      <c r="J48" s="7">
        <f>SUM(J49:J52)</f>
        <v>86.5</v>
      </c>
      <c r="K48" s="8">
        <v>1380000</v>
      </c>
      <c r="L48" s="9">
        <f>J48*K48</f>
        <v>119370000</v>
      </c>
    </row>
    <row r="49" spans="1:12" x14ac:dyDescent="0.3">
      <c r="A49" s="4"/>
      <c r="B49" s="4"/>
      <c r="C49" s="10" t="s">
        <v>157</v>
      </c>
      <c r="D49" s="4" t="s">
        <v>26</v>
      </c>
      <c r="E49" s="8">
        <v>1</v>
      </c>
      <c r="F49" s="11">
        <v>20</v>
      </c>
      <c r="G49" s="11">
        <v>2.5</v>
      </c>
      <c r="H49" s="11">
        <v>0.8</v>
      </c>
      <c r="I49" s="11">
        <v>1</v>
      </c>
      <c r="J49" s="11">
        <f>E49*F49*G49*H49*I49</f>
        <v>40</v>
      </c>
      <c r="K49" s="6"/>
      <c r="L49" s="6"/>
    </row>
    <row r="50" spans="1:12" x14ac:dyDescent="0.3">
      <c r="A50" s="4"/>
      <c r="B50" s="4"/>
      <c r="C50" s="10" t="s">
        <v>158</v>
      </c>
      <c r="D50" s="4" t="s">
        <v>26</v>
      </c>
      <c r="E50" s="8">
        <v>1</v>
      </c>
      <c r="F50" s="11">
        <v>20</v>
      </c>
      <c r="G50" s="11">
        <v>1.5</v>
      </c>
      <c r="H50" s="11">
        <v>0.9</v>
      </c>
      <c r="I50" s="11">
        <v>1</v>
      </c>
      <c r="J50" s="11">
        <f>E50*F50*G50*H50*I50</f>
        <v>27</v>
      </c>
      <c r="K50" s="6"/>
      <c r="L50" s="6"/>
    </row>
    <row r="51" spans="1:12" x14ac:dyDescent="0.3">
      <c r="A51" s="4"/>
      <c r="B51" s="4"/>
      <c r="C51" s="10" t="s">
        <v>159</v>
      </c>
      <c r="D51" s="4" t="s">
        <v>26</v>
      </c>
      <c r="E51" s="8">
        <v>1</v>
      </c>
      <c r="F51" s="11">
        <v>20</v>
      </c>
      <c r="G51" s="11">
        <v>1</v>
      </c>
      <c r="H51" s="11">
        <v>0.6</v>
      </c>
      <c r="I51" s="11">
        <v>1</v>
      </c>
      <c r="J51" s="11">
        <f>E51*F51*G51*H51*I51</f>
        <v>12</v>
      </c>
      <c r="K51" s="6"/>
      <c r="L51" s="6"/>
    </row>
    <row r="52" spans="1:12" x14ac:dyDescent="0.3">
      <c r="A52" s="4"/>
      <c r="B52" s="4"/>
      <c r="C52" s="10" t="s">
        <v>160</v>
      </c>
      <c r="D52" s="4" t="s">
        <v>26</v>
      </c>
      <c r="E52" s="8">
        <v>1</v>
      </c>
      <c r="F52" s="11">
        <v>20</v>
      </c>
      <c r="G52" s="11">
        <v>0.75</v>
      </c>
      <c r="H52" s="11">
        <v>0.5</v>
      </c>
      <c r="I52" s="11">
        <v>1</v>
      </c>
      <c r="J52" s="11">
        <f>E52*F52*G52*H52*I52</f>
        <v>7.5</v>
      </c>
      <c r="K52" s="6"/>
      <c r="L52" s="6"/>
    </row>
    <row r="53" spans="1:12" x14ac:dyDescent="0.3">
      <c r="A53" s="4">
        <v>19</v>
      </c>
      <c r="B53" s="4" t="s">
        <v>161</v>
      </c>
      <c r="C53" s="5" t="s">
        <v>162</v>
      </c>
      <c r="D53" s="4" t="s">
        <v>36</v>
      </c>
      <c r="E53" s="6"/>
      <c r="F53" s="6"/>
      <c r="G53" s="6"/>
      <c r="H53" s="6"/>
      <c r="I53" s="6"/>
      <c r="J53" s="11">
        <f>TO_HOP_CAT_THEP_11M7!K16/1000</f>
        <v>1.8027840000000002</v>
      </c>
      <c r="K53" s="8">
        <v>22000000</v>
      </c>
      <c r="L53" s="9">
        <f>J53*K53</f>
        <v>39661248</v>
      </c>
    </row>
    <row r="54" spans="1:12" x14ac:dyDescent="0.3">
      <c r="A54" s="4">
        <v>20</v>
      </c>
      <c r="B54" s="4" t="s">
        <v>163</v>
      </c>
      <c r="C54" s="5" t="s">
        <v>164</v>
      </c>
      <c r="D54" s="4" t="s">
        <v>16</v>
      </c>
      <c r="E54" s="8">
        <v>1</v>
      </c>
      <c r="F54" s="11">
        <v>52</v>
      </c>
      <c r="G54" s="11">
        <v>20</v>
      </c>
      <c r="H54" s="11">
        <v>1</v>
      </c>
      <c r="I54" s="11">
        <v>1</v>
      </c>
      <c r="J54" s="11">
        <f>E54*F54*G54*H54*I54</f>
        <v>1040</v>
      </c>
      <c r="K54" s="8">
        <v>95000</v>
      </c>
      <c r="L54" s="9">
        <f>J54*K54</f>
        <v>98800000</v>
      </c>
    </row>
    <row r="55" spans="1:12" x14ac:dyDescent="0.3">
      <c r="A55" s="44" t="s">
        <v>165</v>
      </c>
      <c r="B55" s="45"/>
      <c r="C55" s="45"/>
      <c r="D55" s="45"/>
      <c r="E55" s="45"/>
      <c r="F55" s="45"/>
      <c r="G55" s="45"/>
      <c r="H55" s="45"/>
      <c r="I55" s="45"/>
      <c r="J55" s="45"/>
      <c r="K55" s="46"/>
      <c r="L55" s="12">
        <f>L7+L11+L14+L17+L22+L25+L26+L30+L34+L35+L38+L41+L42+L43+L45+L46+L47+L48+L53+L54</f>
        <v>2152369393.0999999</v>
      </c>
    </row>
  </sheetData>
  <mergeCells count="4">
    <mergeCell ref="A55:K55"/>
    <mergeCell ref="A6:L6"/>
    <mergeCell ref="A29:L29"/>
    <mergeCell ref="A44:L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"/>
  <sheetViews>
    <sheetView workbookViewId="0">
      <selection activeCell="C10" sqref="C10"/>
    </sheetView>
  </sheetViews>
  <sheetFormatPr defaultRowHeight="14" x14ac:dyDescent="0.3"/>
  <cols>
    <col min="1" max="1" width="11" customWidth="1"/>
    <col min="2" max="2" width="46" customWidth="1"/>
    <col min="3" max="3" width="40" customWidth="1"/>
    <col min="4" max="4" width="11" customWidth="1"/>
    <col min="5" max="5" width="20" customWidth="1"/>
  </cols>
  <sheetData>
    <row r="2" spans="1:5" ht="16.5" customHeight="1" x14ac:dyDescent="0.35">
      <c r="B2" s="1" t="s">
        <v>166</v>
      </c>
    </row>
    <row r="3" spans="1:5" x14ac:dyDescent="0.3">
      <c r="B3" s="2" t="s">
        <v>167</v>
      </c>
    </row>
    <row r="5" spans="1:5" x14ac:dyDescent="0.3">
      <c r="A5" s="13" t="s">
        <v>85</v>
      </c>
      <c r="B5" s="13" t="s">
        <v>168</v>
      </c>
      <c r="C5" s="13" t="s">
        <v>169</v>
      </c>
      <c r="D5" s="13" t="s">
        <v>170</v>
      </c>
      <c r="E5" s="13" t="s">
        <v>171</v>
      </c>
    </row>
    <row r="6" spans="1:5" x14ac:dyDescent="0.3">
      <c r="A6" s="14">
        <v>1</v>
      </c>
      <c r="B6" s="5" t="s">
        <v>172</v>
      </c>
      <c r="C6" s="5" t="s">
        <v>173</v>
      </c>
      <c r="D6" s="14" t="s">
        <v>174</v>
      </c>
      <c r="E6" s="9">
        <f>QS_DIEN_GIAI_CHI_TIET!L55</f>
        <v>2152369393.0999999</v>
      </c>
    </row>
    <row r="7" spans="1:5" x14ac:dyDescent="0.3">
      <c r="A7" s="14">
        <v>2</v>
      </c>
      <c r="B7" s="5" t="s">
        <v>175</v>
      </c>
      <c r="C7" s="5" t="s">
        <v>176</v>
      </c>
      <c r="D7" s="14" t="s">
        <v>177</v>
      </c>
      <c r="E7" s="9">
        <f>E6*0.073</f>
        <v>157122965.69629997</v>
      </c>
    </row>
    <row r="8" spans="1:5" x14ac:dyDescent="0.3">
      <c r="A8" s="4"/>
      <c r="B8" s="6" t="s">
        <v>178</v>
      </c>
      <c r="C8" s="6" t="s">
        <v>179</v>
      </c>
      <c r="D8" s="4" t="s">
        <v>180</v>
      </c>
      <c r="E8" s="8">
        <f>E6*0.051</f>
        <v>109770839.04809999</v>
      </c>
    </row>
    <row r="9" spans="1:5" x14ac:dyDescent="0.3">
      <c r="A9" s="4"/>
      <c r="B9" s="6" t="s">
        <v>181</v>
      </c>
      <c r="C9" s="6" t="s">
        <v>182</v>
      </c>
      <c r="D9" s="4" t="s">
        <v>183</v>
      </c>
      <c r="E9" s="8">
        <f>E6*0.012</f>
        <v>25828432.7172</v>
      </c>
    </row>
    <row r="10" spans="1:5" x14ac:dyDescent="0.3">
      <c r="A10" s="4"/>
      <c r="B10" s="6" t="s">
        <v>184</v>
      </c>
      <c r="C10" s="6" t="s">
        <v>185</v>
      </c>
      <c r="D10" s="4" t="s">
        <v>186</v>
      </c>
      <c r="E10" s="8">
        <f>E6*0.01</f>
        <v>21523693.930999998</v>
      </c>
    </row>
    <row r="11" spans="1:5" x14ac:dyDescent="0.3">
      <c r="A11" s="14">
        <v>3</v>
      </c>
      <c r="B11" s="5" t="s">
        <v>187</v>
      </c>
      <c r="C11" s="5" t="s">
        <v>188</v>
      </c>
      <c r="D11" s="14" t="s">
        <v>189</v>
      </c>
      <c r="E11" s="9">
        <f>(E6+E7)*0.055</f>
        <v>127022079.73379649</v>
      </c>
    </row>
    <row r="12" spans="1:5" x14ac:dyDescent="0.3">
      <c r="A12" s="14">
        <v>4</v>
      </c>
      <c r="B12" s="5" t="s">
        <v>190</v>
      </c>
      <c r="C12" s="5" t="s">
        <v>191</v>
      </c>
      <c r="D12" s="14" t="s">
        <v>192</v>
      </c>
      <c r="E12" s="9">
        <f>E6+E7+E11</f>
        <v>2436514438.5300965</v>
      </c>
    </row>
    <row r="13" spans="1:5" x14ac:dyDescent="0.3">
      <c r="A13" s="14">
        <v>5</v>
      </c>
      <c r="B13" s="5" t="s">
        <v>193</v>
      </c>
      <c r="C13" s="5" t="s">
        <v>194</v>
      </c>
      <c r="D13" s="14" t="s">
        <v>195</v>
      </c>
      <c r="E13" s="9">
        <f>E12*0.08</f>
        <v>194921155.08240771</v>
      </c>
    </row>
    <row r="14" spans="1:5" x14ac:dyDescent="0.3">
      <c r="A14" s="15">
        <v>6</v>
      </c>
      <c r="B14" s="16" t="s">
        <v>196</v>
      </c>
      <c r="C14" s="16" t="s">
        <v>197</v>
      </c>
      <c r="D14" s="15" t="s">
        <v>198</v>
      </c>
      <c r="E14" s="17">
        <f>E12+E13</f>
        <v>2631435593.612504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7"/>
  <sheetViews>
    <sheetView tabSelected="1" topLeftCell="B1" workbookViewId="0">
      <selection activeCell="I31" sqref="I31"/>
    </sheetView>
  </sheetViews>
  <sheetFormatPr defaultRowHeight="14" x14ac:dyDescent="0.3"/>
  <cols>
    <col min="1" max="1" width="2.9140625" bestFit="1" customWidth="1"/>
    <col min="2" max="2" width="44" customWidth="1"/>
    <col min="3" max="3" width="18" customWidth="1"/>
    <col min="4" max="4" width="12" customWidth="1"/>
    <col min="5" max="5" width="14" customWidth="1"/>
    <col min="6" max="6" width="17" customWidth="1"/>
    <col min="7" max="7" width="21" customWidth="1"/>
    <col min="8" max="8" width="23" customWidth="1"/>
    <col min="9" max="9" width="17" customWidth="1"/>
    <col min="10" max="10" width="13" customWidth="1"/>
    <col min="11" max="11" width="19" customWidth="1"/>
    <col min="12" max="12" width="17" customWidth="1"/>
  </cols>
  <sheetData>
    <row r="2" spans="1:12" ht="16.5" customHeight="1" x14ac:dyDescent="0.35">
      <c r="B2" s="1" t="s">
        <v>199</v>
      </c>
    </row>
    <row r="3" spans="1:12" x14ac:dyDescent="0.3">
      <c r="B3" s="2" t="s">
        <v>200</v>
      </c>
    </row>
    <row r="5" spans="1:12" ht="28" customHeight="1" x14ac:dyDescent="0.3">
      <c r="A5" s="3" t="s">
        <v>85</v>
      </c>
      <c r="B5" s="3" t="s">
        <v>201</v>
      </c>
      <c r="C5" s="3" t="s">
        <v>202</v>
      </c>
      <c r="D5" s="3" t="s">
        <v>203</v>
      </c>
      <c r="E5" s="3" t="s">
        <v>204</v>
      </c>
      <c r="F5" s="3" t="s">
        <v>205</v>
      </c>
      <c r="G5" s="3" t="s">
        <v>206</v>
      </c>
      <c r="H5" s="3" t="s">
        <v>207</v>
      </c>
      <c r="I5" s="3" t="s">
        <v>208</v>
      </c>
      <c r="J5" s="3" t="s">
        <v>209</v>
      </c>
      <c r="K5" s="3" t="s">
        <v>210</v>
      </c>
      <c r="L5" s="3" t="s">
        <v>211</v>
      </c>
    </row>
    <row r="6" spans="1:12" x14ac:dyDescent="0.3">
      <c r="A6" s="4">
        <v>1</v>
      </c>
      <c r="B6" s="6" t="s">
        <v>212</v>
      </c>
      <c r="C6" s="4">
        <v>25</v>
      </c>
      <c r="D6" s="8">
        <v>140</v>
      </c>
      <c r="E6" s="11">
        <v>5.75</v>
      </c>
      <c r="F6" s="11">
        <f>D6*E6</f>
        <v>805</v>
      </c>
      <c r="G6" s="11">
        <v>11.7</v>
      </c>
      <c r="H6" s="8">
        <f>ROUNDUP(F6/G6, 0)</f>
        <v>69</v>
      </c>
      <c r="I6" s="11">
        <f>H6*G6</f>
        <v>807.3</v>
      </c>
      <c r="J6" s="11">
        <f>I6-F6</f>
        <v>2.2999999999999545</v>
      </c>
      <c r="K6" s="11">
        <f>F6*3.853</f>
        <v>3101.665</v>
      </c>
      <c r="L6" s="18">
        <f>(J6/I6)*100</f>
        <v>0.2849002849002793</v>
      </c>
    </row>
    <row r="7" spans="1:12" x14ac:dyDescent="0.3">
      <c r="A7" s="4">
        <v>2</v>
      </c>
      <c r="B7" s="6" t="s">
        <v>213</v>
      </c>
      <c r="C7" s="4">
        <v>22</v>
      </c>
      <c r="D7" s="8">
        <v>112</v>
      </c>
      <c r="E7" s="11">
        <v>10.6</v>
      </c>
      <c r="F7" s="11">
        <f>D7*E7</f>
        <v>1187.2</v>
      </c>
      <c r="G7" s="11">
        <v>11.7</v>
      </c>
      <c r="H7" s="8">
        <f>ROUNDUP(F7/G7, 0)</f>
        <v>102</v>
      </c>
      <c r="I7" s="11">
        <f>H7*G7</f>
        <v>1193.3999999999999</v>
      </c>
      <c r="J7" s="11">
        <f>I7-F7</f>
        <v>6.1999999999998181</v>
      </c>
      <c r="K7" s="11">
        <f>F7*2.984</f>
        <v>3542.6048000000001</v>
      </c>
      <c r="L7" s="18">
        <f>(J7/I7)*100</f>
        <v>0.51952404893579851</v>
      </c>
    </row>
    <row r="8" spans="1:12" x14ac:dyDescent="0.3">
      <c r="A8" s="4">
        <v>3</v>
      </c>
      <c r="B8" s="6" t="s">
        <v>214</v>
      </c>
      <c r="C8" s="4">
        <v>16</v>
      </c>
      <c r="D8" s="8">
        <v>180</v>
      </c>
      <c r="E8" s="11">
        <v>3.65</v>
      </c>
      <c r="F8" s="11">
        <f>D8*E8</f>
        <v>657</v>
      </c>
      <c r="G8" s="11">
        <v>11.7</v>
      </c>
      <c r="H8" s="8">
        <f>ROUNDUP(F8/G8, 0)</f>
        <v>57</v>
      </c>
      <c r="I8" s="11">
        <f>H8*G8</f>
        <v>666.9</v>
      </c>
      <c r="J8" s="11">
        <f>I8-F8</f>
        <v>9.8999999999999773</v>
      </c>
      <c r="K8" s="11">
        <f>F8*1.578</f>
        <v>1036.7460000000001</v>
      </c>
      <c r="L8" s="18">
        <f>(J8/I8)*100</f>
        <v>1.4844804318488496</v>
      </c>
    </row>
    <row r="9" spans="1:12" x14ac:dyDescent="0.3">
      <c r="A9" s="48" t="s">
        <v>215</v>
      </c>
      <c r="B9" s="45"/>
      <c r="C9" s="45"/>
      <c r="D9" s="45"/>
      <c r="E9" s="46"/>
      <c r="F9" s="6"/>
      <c r="G9" s="6"/>
      <c r="H9" s="6"/>
      <c r="I9" s="6"/>
      <c r="J9" s="6"/>
      <c r="K9" s="20">
        <f>SUM(K6:K8)</f>
        <v>7681.0158000000001</v>
      </c>
      <c r="L9" s="6"/>
    </row>
    <row r="10" spans="1:12" x14ac:dyDescent="0.3">
      <c r="A10" s="4">
        <v>4</v>
      </c>
      <c r="B10" s="6" t="s">
        <v>216</v>
      </c>
      <c r="C10" s="4">
        <v>32</v>
      </c>
      <c r="D10" s="8">
        <v>48</v>
      </c>
      <c r="E10" s="11">
        <v>14.8</v>
      </c>
      <c r="F10" s="11">
        <f>D10*E10</f>
        <v>710.40000000000009</v>
      </c>
      <c r="G10" s="11">
        <v>11.7</v>
      </c>
      <c r="H10" s="8">
        <f>ROUNDUP(F10/G10, 0)</f>
        <v>61</v>
      </c>
      <c r="I10" s="11">
        <f>H10*G10</f>
        <v>713.69999999999993</v>
      </c>
      <c r="J10" s="11">
        <f>I10-F10</f>
        <v>3.2999999999998408</v>
      </c>
      <c r="K10" s="11">
        <f>F10*6.313</f>
        <v>4484.7552000000005</v>
      </c>
      <c r="L10" s="18">
        <f>(J10/I10)*100</f>
        <v>0.46237915090371878</v>
      </c>
    </row>
    <row r="11" spans="1:12" x14ac:dyDescent="0.3">
      <c r="A11" s="4">
        <v>5</v>
      </c>
      <c r="B11" s="6" t="s">
        <v>217</v>
      </c>
      <c r="C11" s="4">
        <v>14</v>
      </c>
      <c r="D11" s="8">
        <v>96</v>
      </c>
      <c r="E11" s="11">
        <v>14.6</v>
      </c>
      <c r="F11" s="11">
        <f>D11*E11</f>
        <v>1401.6</v>
      </c>
      <c r="G11" s="11">
        <v>11.7</v>
      </c>
      <c r="H11" s="8">
        <f>ROUNDUP(F11/G11, 0)</f>
        <v>120</v>
      </c>
      <c r="I11" s="11">
        <f>H11*G11</f>
        <v>1404</v>
      </c>
      <c r="J11" s="11">
        <f>I11-F11</f>
        <v>2.4000000000000909</v>
      </c>
      <c r="K11" s="11">
        <f>F11*1.208</f>
        <v>1693.1327999999999</v>
      </c>
      <c r="L11" s="18">
        <f>(J11/I11)*100</f>
        <v>0.17094017094017741</v>
      </c>
    </row>
    <row r="12" spans="1:12" x14ac:dyDescent="0.3">
      <c r="A12" s="4">
        <v>6</v>
      </c>
      <c r="B12" s="6" t="s">
        <v>218</v>
      </c>
      <c r="C12" s="4">
        <v>10</v>
      </c>
      <c r="D12" s="8">
        <v>320</v>
      </c>
      <c r="E12" s="11">
        <v>2.85</v>
      </c>
      <c r="F12" s="11">
        <f>D12*E12</f>
        <v>912</v>
      </c>
      <c r="G12" s="11">
        <v>11.7</v>
      </c>
      <c r="H12" s="8">
        <f>ROUNDUP(F12/G12, 0)</f>
        <v>78</v>
      </c>
      <c r="I12" s="11">
        <f>H12*G12</f>
        <v>912.59999999999991</v>
      </c>
      <c r="J12" s="11">
        <f>I12-F12</f>
        <v>0.59999999999990905</v>
      </c>
      <c r="K12" s="11">
        <f>F12*0.617</f>
        <v>562.70399999999995</v>
      </c>
      <c r="L12" s="18">
        <f>(J12/I12)*100</f>
        <v>6.5746219592363472E-2</v>
      </c>
    </row>
    <row r="13" spans="1:12" x14ac:dyDescent="0.3">
      <c r="A13" s="48" t="s">
        <v>219</v>
      </c>
      <c r="B13" s="45"/>
      <c r="C13" s="45"/>
      <c r="D13" s="45"/>
      <c r="E13" s="46"/>
      <c r="F13" s="6"/>
      <c r="G13" s="6"/>
      <c r="H13" s="6"/>
      <c r="I13" s="6"/>
      <c r="J13" s="6"/>
      <c r="K13" s="20">
        <f>SUM(K10:K12)</f>
        <v>6740.5920000000006</v>
      </c>
      <c r="L13" s="6"/>
    </row>
    <row r="14" spans="1:12" x14ac:dyDescent="0.3">
      <c r="A14" s="4">
        <v>7</v>
      </c>
      <c r="B14" s="6" t="s">
        <v>220</v>
      </c>
      <c r="C14" s="4">
        <v>16</v>
      </c>
      <c r="D14" s="8">
        <v>160</v>
      </c>
      <c r="E14" s="11">
        <v>4.2</v>
      </c>
      <c r="F14" s="11">
        <f>D14*E14</f>
        <v>672</v>
      </c>
      <c r="G14" s="11">
        <v>11.7</v>
      </c>
      <c r="H14" s="8">
        <f>ROUNDUP(F14/G14, 0)</f>
        <v>58</v>
      </c>
      <c r="I14" s="11">
        <f>H14*G14</f>
        <v>678.59999999999991</v>
      </c>
      <c r="J14" s="11">
        <f>I14-F14</f>
        <v>6.5999999999999091</v>
      </c>
      <c r="K14" s="11">
        <f>F14*1.578</f>
        <v>1060.4159999999999</v>
      </c>
      <c r="L14" s="18">
        <f>(J14/I14)*100</f>
        <v>0.97259062776302829</v>
      </c>
    </row>
    <row r="15" spans="1:12" x14ac:dyDescent="0.3">
      <c r="A15" s="4">
        <v>8</v>
      </c>
      <c r="B15" s="6" t="s">
        <v>221</v>
      </c>
      <c r="C15" s="4">
        <v>12</v>
      </c>
      <c r="D15" s="8">
        <v>220</v>
      </c>
      <c r="E15" s="11">
        <v>3.8</v>
      </c>
      <c r="F15" s="11">
        <f>D15*E15</f>
        <v>836</v>
      </c>
      <c r="G15" s="11">
        <v>11.7</v>
      </c>
      <c r="H15" s="8">
        <f>ROUNDUP(F15/G15, 0)</f>
        <v>72</v>
      </c>
      <c r="I15" s="11">
        <f>H15*G15</f>
        <v>842.4</v>
      </c>
      <c r="J15" s="11">
        <f>I15-F15</f>
        <v>6.3999999999999773</v>
      </c>
      <c r="K15" s="11">
        <f>F15*0.888</f>
        <v>742.36800000000005</v>
      </c>
      <c r="L15" s="18">
        <f>(J15/I15)*100</f>
        <v>0.75973409306742379</v>
      </c>
    </row>
    <row r="16" spans="1:12" x14ac:dyDescent="0.3">
      <c r="A16" s="48" t="s">
        <v>222</v>
      </c>
      <c r="B16" s="45"/>
      <c r="C16" s="45"/>
      <c r="D16" s="45"/>
      <c r="E16" s="46"/>
      <c r="F16" s="6"/>
      <c r="G16" s="6"/>
      <c r="H16" s="6"/>
      <c r="I16" s="6"/>
      <c r="J16" s="6"/>
      <c r="K16" s="20">
        <f>SUM(K14:K15)</f>
        <v>1802.7840000000001</v>
      </c>
      <c r="L16" s="6"/>
    </row>
    <row r="17" spans="1:12" x14ac:dyDescent="0.3">
      <c r="A17" s="48" t="s">
        <v>223</v>
      </c>
      <c r="B17" s="45"/>
      <c r="C17" s="45"/>
      <c r="D17" s="45"/>
      <c r="E17" s="46"/>
      <c r="F17" s="6"/>
      <c r="G17" s="6"/>
      <c r="H17" s="6"/>
      <c r="I17" s="6"/>
      <c r="J17" s="6"/>
      <c r="K17" s="20">
        <f>K9+K13+K16</f>
        <v>16224.391800000001</v>
      </c>
      <c r="L17" s="6"/>
    </row>
  </sheetData>
  <mergeCells count="4">
    <mergeCell ref="A16:E16"/>
    <mergeCell ref="A17:E17"/>
    <mergeCell ref="A9:E9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6"/>
  <sheetViews>
    <sheetView workbookViewId="0">
      <selection activeCell="J16" sqref="J16"/>
    </sheetView>
  </sheetViews>
  <sheetFormatPr defaultRowHeight="14" x14ac:dyDescent="0.3"/>
  <cols>
    <col min="1" max="1" width="2.9140625" bestFit="1" customWidth="1"/>
    <col min="2" max="2" width="11.75" customWidth="1"/>
    <col min="3" max="3" width="16" customWidth="1"/>
    <col min="4" max="4" width="15" customWidth="1"/>
    <col min="5" max="5" width="20" customWidth="1"/>
    <col min="6" max="6" width="21" customWidth="1"/>
    <col min="7" max="7" width="19" customWidth="1"/>
    <col min="8" max="8" width="21" customWidth="1"/>
    <col min="9" max="9" width="18" customWidth="1"/>
    <col min="10" max="10" width="21" customWidth="1"/>
  </cols>
  <sheetData>
    <row r="2" spans="1:10" ht="16.5" customHeight="1" x14ac:dyDescent="0.35">
      <c r="B2" s="1" t="s">
        <v>224</v>
      </c>
    </row>
    <row r="3" spans="1:10" x14ac:dyDescent="0.3">
      <c r="B3" s="2" t="s">
        <v>225</v>
      </c>
    </row>
    <row r="5" spans="1:10" ht="28" customHeight="1" x14ac:dyDescent="0.3">
      <c r="A5" s="3" t="s">
        <v>85</v>
      </c>
      <c r="B5" s="3" t="s">
        <v>226</v>
      </c>
      <c r="C5" s="3" t="s">
        <v>227</v>
      </c>
      <c r="D5" s="3" t="s">
        <v>228</v>
      </c>
      <c r="E5" s="3" t="s">
        <v>229</v>
      </c>
      <c r="F5" s="3" t="s">
        <v>230</v>
      </c>
      <c r="G5" s="3" t="s">
        <v>231</v>
      </c>
      <c r="H5" s="3" t="s">
        <v>232</v>
      </c>
      <c r="I5" s="3" t="s">
        <v>233</v>
      </c>
      <c r="J5" s="3" t="s">
        <v>234</v>
      </c>
    </row>
    <row r="6" spans="1:10" x14ac:dyDescent="0.3">
      <c r="A6" s="4">
        <v>1</v>
      </c>
      <c r="B6" s="4" t="s">
        <v>235</v>
      </c>
      <c r="C6" s="4" t="s">
        <v>236</v>
      </c>
      <c r="D6" s="11">
        <v>0</v>
      </c>
      <c r="E6" s="11">
        <v>18.5</v>
      </c>
      <c r="F6" s="11">
        <v>0</v>
      </c>
      <c r="G6" s="11">
        <v>12</v>
      </c>
      <c r="H6" s="11">
        <v>0</v>
      </c>
      <c r="I6" s="11">
        <v>1.2</v>
      </c>
      <c r="J6" s="11">
        <v>0</v>
      </c>
    </row>
    <row r="7" spans="1:10" x14ac:dyDescent="0.3">
      <c r="A7" s="4">
        <v>2</v>
      </c>
      <c r="B7" s="4" t="s">
        <v>237</v>
      </c>
      <c r="C7" s="4" t="s">
        <v>238</v>
      </c>
      <c r="D7" s="11">
        <v>20</v>
      </c>
      <c r="E7" s="11">
        <v>24.2</v>
      </c>
      <c r="F7" s="11">
        <f t="shared" ref="F7:F15" si="0">((E6+E7)/2)*D7</f>
        <v>427</v>
      </c>
      <c r="G7" s="11">
        <v>18.5</v>
      </c>
      <c r="H7" s="11">
        <f t="shared" ref="H7:H15" si="1">((G6+G7)/2)*D7</f>
        <v>305</v>
      </c>
      <c r="I7" s="11">
        <v>1.2</v>
      </c>
      <c r="J7" s="11">
        <f t="shared" ref="J7:J15" si="2">((I6+I7)/2)*D7</f>
        <v>24</v>
      </c>
    </row>
    <row r="8" spans="1:10" x14ac:dyDescent="0.3">
      <c r="A8" s="4">
        <v>3</v>
      </c>
      <c r="B8" s="4" t="s">
        <v>239</v>
      </c>
      <c r="C8" s="4" t="s">
        <v>240</v>
      </c>
      <c r="D8" s="11">
        <v>20</v>
      </c>
      <c r="E8" s="11">
        <v>32</v>
      </c>
      <c r="F8" s="11">
        <f t="shared" si="0"/>
        <v>562</v>
      </c>
      <c r="G8" s="11">
        <v>26.4</v>
      </c>
      <c r="H8" s="11">
        <f t="shared" si="1"/>
        <v>449</v>
      </c>
      <c r="I8" s="11">
        <v>1.2</v>
      </c>
      <c r="J8" s="11">
        <f t="shared" si="2"/>
        <v>24</v>
      </c>
    </row>
    <row r="9" spans="1:10" x14ac:dyDescent="0.3">
      <c r="A9" s="4">
        <v>4</v>
      </c>
      <c r="B9" s="4" t="s">
        <v>241</v>
      </c>
      <c r="C9" s="4" t="s">
        <v>242</v>
      </c>
      <c r="D9" s="11">
        <v>15</v>
      </c>
      <c r="E9" s="11">
        <v>45.6</v>
      </c>
      <c r="F9" s="11">
        <f t="shared" si="0"/>
        <v>582</v>
      </c>
      <c r="G9" s="11">
        <v>42</v>
      </c>
      <c r="H9" s="11">
        <f t="shared" si="1"/>
        <v>513</v>
      </c>
      <c r="I9" s="11">
        <v>1.2</v>
      </c>
      <c r="J9" s="11">
        <f t="shared" si="2"/>
        <v>18</v>
      </c>
    </row>
    <row r="10" spans="1:10" x14ac:dyDescent="0.3">
      <c r="A10" s="4">
        <v>5</v>
      </c>
      <c r="B10" s="4" t="s">
        <v>243</v>
      </c>
      <c r="C10" s="4" t="s">
        <v>244</v>
      </c>
      <c r="D10" s="11">
        <v>15</v>
      </c>
      <c r="E10" s="11">
        <v>48.2</v>
      </c>
      <c r="F10" s="11">
        <f t="shared" si="0"/>
        <v>703.50000000000011</v>
      </c>
      <c r="G10" s="11">
        <v>45.5</v>
      </c>
      <c r="H10" s="11">
        <f t="shared" si="1"/>
        <v>656.25</v>
      </c>
      <c r="I10" s="11">
        <v>1.2</v>
      </c>
      <c r="J10" s="11">
        <f t="shared" si="2"/>
        <v>18</v>
      </c>
    </row>
    <row r="11" spans="1:10" x14ac:dyDescent="0.3">
      <c r="A11" s="4">
        <v>6</v>
      </c>
      <c r="B11" s="4" t="s">
        <v>245</v>
      </c>
      <c r="C11" s="4" t="s">
        <v>246</v>
      </c>
      <c r="D11" s="11">
        <v>15</v>
      </c>
      <c r="E11" s="11">
        <v>28.4</v>
      </c>
      <c r="F11" s="11">
        <f t="shared" si="0"/>
        <v>574.5</v>
      </c>
      <c r="G11" s="11">
        <v>30.2</v>
      </c>
      <c r="H11" s="11">
        <f t="shared" si="1"/>
        <v>567.75</v>
      </c>
      <c r="I11" s="11">
        <v>1.2</v>
      </c>
      <c r="J11" s="11">
        <f t="shared" si="2"/>
        <v>18</v>
      </c>
    </row>
    <row r="12" spans="1:10" x14ac:dyDescent="0.3">
      <c r="A12" s="4">
        <v>7</v>
      </c>
      <c r="B12" s="4" t="s">
        <v>247</v>
      </c>
      <c r="C12" s="4" t="s">
        <v>248</v>
      </c>
      <c r="D12" s="11">
        <v>15</v>
      </c>
      <c r="E12" s="11">
        <v>20.100000000000001</v>
      </c>
      <c r="F12" s="11">
        <f t="shared" si="0"/>
        <v>363.75</v>
      </c>
      <c r="G12" s="11">
        <v>19.8</v>
      </c>
      <c r="H12" s="11">
        <f t="shared" si="1"/>
        <v>375</v>
      </c>
      <c r="I12" s="11">
        <v>1.2</v>
      </c>
      <c r="J12" s="11">
        <f t="shared" si="2"/>
        <v>18</v>
      </c>
    </row>
    <row r="13" spans="1:10" x14ac:dyDescent="0.3">
      <c r="A13" s="4">
        <v>8</v>
      </c>
      <c r="B13" s="4" t="s">
        <v>249</v>
      </c>
      <c r="C13" s="4" t="s">
        <v>250</v>
      </c>
      <c r="D13" s="11">
        <v>15</v>
      </c>
      <c r="E13" s="11">
        <v>15.2</v>
      </c>
      <c r="F13" s="11">
        <f t="shared" si="0"/>
        <v>264.75</v>
      </c>
      <c r="G13" s="11">
        <v>14.1</v>
      </c>
      <c r="H13" s="11">
        <f t="shared" si="1"/>
        <v>254.25</v>
      </c>
      <c r="I13" s="11">
        <v>1.2</v>
      </c>
      <c r="J13" s="11">
        <f t="shared" si="2"/>
        <v>18</v>
      </c>
    </row>
    <row r="14" spans="1:10" x14ac:dyDescent="0.3">
      <c r="A14" s="4">
        <v>9</v>
      </c>
      <c r="B14" s="4" t="s">
        <v>251</v>
      </c>
      <c r="C14" s="4" t="s">
        <v>252</v>
      </c>
      <c r="D14" s="11">
        <v>15</v>
      </c>
      <c r="E14" s="11">
        <v>10.5</v>
      </c>
      <c r="F14" s="11">
        <f t="shared" si="0"/>
        <v>192.75</v>
      </c>
      <c r="G14" s="11">
        <v>8.4</v>
      </c>
      <c r="H14" s="11">
        <f t="shared" si="1"/>
        <v>168.75</v>
      </c>
      <c r="I14" s="11">
        <v>1.2</v>
      </c>
      <c r="J14" s="11">
        <f t="shared" si="2"/>
        <v>18</v>
      </c>
    </row>
    <row r="15" spans="1:10" x14ac:dyDescent="0.3">
      <c r="A15" s="4">
        <v>10</v>
      </c>
      <c r="B15" s="4" t="s">
        <v>253</v>
      </c>
      <c r="C15" s="4" t="s">
        <v>254</v>
      </c>
      <c r="D15" s="11">
        <v>10</v>
      </c>
      <c r="E15" s="11">
        <v>6.2</v>
      </c>
      <c r="F15" s="11">
        <f t="shared" si="0"/>
        <v>83.5</v>
      </c>
      <c r="G15" s="11">
        <v>4</v>
      </c>
      <c r="H15" s="11">
        <f t="shared" si="1"/>
        <v>62</v>
      </c>
      <c r="I15" s="11">
        <v>1.2</v>
      </c>
      <c r="J15" s="11">
        <f t="shared" si="2"/>
        <v>12</v>
      </c>
    </row>
    <row r="16" spans="1:10" x14ac:dyDescent="0.3">
      <c r="A16" s="49" t="s">
        <v>255</v>
      </c>
      <c r="B16" s="45"/>
      <c r="C16" s="46"/>
      <c r="D16" s="20">
        <f>SUM(D6:D15)</f>
        <v>140</v>
      </c>
      <c r="E16" s="19"/>
      <c r="F16" s="20">
        <f>SUM(F6:F15)</f>
        <v>3753.75</v>
      </c>
      <c r="G16" s="19"/>
      <c r="H16" s="20">
        <f>SUM(H6:H15)</f>
        <v>3351</v>
      </c>
      <c r="I16" s="19"/>
      <c r="J16" s="20">
        <f>SUM(J6:J15)</f>
        <v>168</v>
      </c>
    </row>
  </sheetData>
  <mergeCells count="1"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K45"/>
  <sheetViews>
    <sheetView topLeftCell="I28" workbookViewId="0">
      <selection activeCell="V16" sqref="V16"/>
    </sheetView>
  </sheetViews>
  <sheetFormatPr defaultRowHeight="14" x14ac:dyDescent="0.3"/>
  <cols>
    <col min="1" max="1" width="9" customWidth="1"/>
    <col min="2" max="2" width="44" customWidth="1"/>
    <col min="3" max="3" width="13" customWidth="1"/>
    <col min="4" max="4" width="7" customWidth="1"/>
    <col min="5" max="5" width="12" customWidth="1"/>
    <col min="6" max="6" width="13" customWidth="1"/>
    <col min="7" max="7" width="9" customWidth="1"/>
    <col min="8" max="8" width="12" customWidth="1"/>
    <col min="9" max="10" width="13" customWidth="1"/>
    <col min="11" max="11" width="14" customWidth="1"/>
    <col min="12" max="12" width="12" customWidth="1"/>
    <col min="13" max="37" width="5.1640625" customWidth="1"/>
  </cols>
  <sheetData>
    <row r="2" spans="1:37" ht="16.5" x14ac:dyDescent="0.35">
      <c r="B2" s="22" t="s">
        <v>83</v>
      </c>
    </row>
    <row r="3" spans="1:37" x14ac:dyDescent="0.3">
      <c r="B3" s="23" t="s">
        <v>256</v>
      </c>
    </row>
    <row r="4" spans="1:37" ht="18" customHeight="1" x14ac:dyDescent="0.3">
      <c r="B4" s="24" t="s">
        <v>257</v>
      </c>
      <c r="M4" s="52" t="s">
        <v>258</v>
      </c>
      <c r="N4" s="51"/>
      <c r="O4" s="51"/>
      <c r="P4" s="51"/>
      <c r="Q4" s="52" t="s">
        <v>259</v>
      </c>
      <c r="R4" s="51"/>
      <c r="S4" s="51"/>
      <c r="T4" s="51"/>
      <c r="U4" s="52" t="s">
        <v>260</v>
      </c>
      <c r="V4" s="51"/>
      <c r="W4" s="51"/>
      <c r="X4" s="51"/>
      <c r="Y4" s="52" t="s">
        <v>261</v>
      </c>
      <c r="Z4" s="51"/>
      <c r="AA4" s="51"/>
      <c r="AB4" s="51"/>
      <c r="AC4" s="52" t="s">
        <v>262</v>
      </c>
      <c r="AD4" s="51"/>
      <c r="AE4" s="51"/>
      <c r="AF4" s="51"/>
      <c r="AG4" s="52" t="s">
        <v>263</v>
      </c>
      <c r="AH4" s="51"/>
      <c r="AI4" s="51"/>
      <c r="AJ4" s="51"/>
      <c r="AK4" s="51"/>
    </row>
    <row r="5" spans="1:37" ht="18" customHeight="1" x14ac:dyDescent="0.3">
      <c r="A5" s="50" t="s">
        <v>264</v>
      </c>
      <c r="B5" s="50" t="s">
        <v>265</v>
      </c>
      <c r="C5" s="50" t="s">
        <v>266</v>
      </c>
      <c r="D5" s="50" t="s">
        <v>6</v>
      </c>
      <c r="E5" s="50" t="s">
        <v>267</v>
      </c>
      <c r="F5" s="50" t="s">
        <v>268</v>
      </c>
      <c r="G5" s="50" t="s">
        <v>269</v>
      </c>
      <c r="H5" s="50" t="s">
        <v>270</v>
      </c>
      <c r="I5" s="50" t="s">
        <v>271</v>
      </c>
      <c r="J5" s="50" t="s">
        <v>272</v>
      </c>
      <c r="K5" s="50" t="s">
        <v>273</v>
      </c>
      <c r="L5" s="50" t="s">
        <v>274</v>
      </c>
      <c r="M5" s="26" t="s">
        <v>275</v>
      </c>
      <c r="N5" s="26" t="s">
        <v>276</v>
      </c>
      <c r="O5" s="26" t="s">
        <v>277</v>
      </c>
      <c r="P5" s="26" t="s">
        <v>278</v>
      </c>
      <c r="Q5" s="26" t="s">
        <v>279</v>
      </c>
      <c r="R5" s="26" t="s">
        <v>280</v>
      </c>
      <c r="S5" s="26" t="s">
        <v>281</v>
      </c>
      <c r="T5" s="26" t="s">
        <v>282</v>
      </c>
      <c r="U5" s="26" t="s">
        <v>283</v>
      </c>
      <c r="V5" s="26" t="s">
        <v>284</v>
      </c>
      <c r="W5" s="26" t="s">
        <v>285</v>
      </c>
      <c r="X5" s="26" t="s">
        <v>286</v>
      </c>
      <c r="Y5" s="26" t="s">
        <v>287</v>
      </c>
      <c r="Z5" s="26" t="s">
        <v>288</v>
      </c>
      <c r="AA5" s="26" t="s">
        <v>289</v>
      </c>
      <c r="AB5" s="26" t="s">
        <v>290</v>
      </c>
      <c r="AC5" s="26" t="s">
        <v>291</v>
      </c>
      <c r="AD5" s="26" t="s">
        <v>292</v>
      </c>
      <c r="AE5" s="26" t="s">
        <v>293</v>
      </c>
      <c r="AF5" s="26" t="s">
        <v>294</v>
      </c>
      <c r="AG5" s="26" t="s">
        <v>295</v>
      </c>
      <c r="AH5" s="26" t="s">
        <v>296</v>
      </c>
      <c r="AI5" s="26" t="s">
        <v>297</v>
      </c>
      <c r="AJ5" s="26" t="s">
        <v>298</v>
      </c>
      <c r="AK5" s="26" t="s">
        <v>299</v>
      </c>
    </row>
    <row r="6" spans="1:37" ht="15" customHeigh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27" t="s">
        <v>300</v>
      </c>
      <c r="N6" s="27" t="s">
        <v>301</v>
      </c>
      <c r="O6" s="27" t="s">
        <v>302</v>
      </c>
      <c r="P6" s="27" t="s">
        <v>303</v>
      </c>
      <c r="Q6" s="27" t="s">
        <v>304</v>
      </c>
      <c r="R6" s="27" t="s">
        <v>305</v>
      </c>
      <c r="S6" s="27" t="s">
        <v>306</v>
      </c>
      <c r="T6" s="27" t="s">
        <v>307</v>
      </c>
      <c r="U6" s="27" t="s">
        <v>308</v>
      </c>
      <c r="V6" s="27" t="s">
        <v>309</v>
      </c>
      <c r="W6" s="27" t="s">
        <v>310</v>
      </c>
      <c r="X6" s="27" t="s">
        <v>311</v>
      </c>
      <c r="Y6" s="27" t="s">
        <v>312</v>
      </c>
      <c r="Z6" s="27" t="s">
        <v>313</v>
      </c>
      <c r="AA6" s="27" t="s">
        <v>314</v>
      </c>
      <c r="AB6" s="27" t="s">
        <v>315</v>
      </c>
      <c r="AC6" s="27" t="s">
        <v>316</v>
      </c>
      <c r="AD6" s="27" t="s">
        <v>317</v>
      </c>
      <c r="AE6" s="27" t="s">
        <v>318</v>
      </c>
      <c r="AF6" s="27" t="s">
        <v>319</v>
      </c>
      <c r="AG6" s="27" t="s">
        <v>320</v>
      </c>
      <c r="AH6" s="27" t="s">
        <v>321</v>
      </c>
      <c r="AI6" s="27" t="s">
        <v>322</v>
      </c>
      <c r="AJ6" s="27" t="s">
        <v>323</v>
      </c>
      <c r="AK6" s="27" t="s">
        <v>324</v>
      </c>
    </row>
    <row r="7" spans="1:37" ht="22" customHeight="1" x14ac:dyDescent="0.3">
      <c r="A7" s="53" t="s">
        <v>325</v>
      </c>
      <c r="B7" s="51"/>
      <c r="C7" s="51"/>
      <c r="D7" s="51"/>
      <c r="E7" s="51"/>
      <c r="F7" s="51"/>
      <c r="G7" s="51"/>
      <c r="H7" s="28" t="s">
        <v>326</v>
      </c>
      <c r="I7" s="28" t="s">
        <v>327</v>
      </c>
      <c r="J7" s="28" t="s">
        <v>328</v>
      </c>
      <c r="K7" s="29"/>
      <c r="L7" s="28" t="s">
        <v>329</v>
      </c>
      <c r="M7" s="30" t="s">
        <v>330</v>
      </c>
      <c r="N7" s="30" t="s">
        <v>330</v>
      </c>
      <c r="O7" s="30" t="s">
        <v>330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9" customHeight="1" x14ac:dyDescent="0.3">
      <c r="A8" s="31" t="s">
        <v>331</v>
      </c>
      <c r="B8" s="32" t="s">
        <v>332</v>
      </c>
      <c r="C8" s="33">
        <v>1</v>
      </c>
      <c r="D8" s="34" t="s">
        <v>11</v>
      </c>
      <c r="E8" s="33">
        <v>8</v>
      </c>
      <c r="F8" s="35">
        <f>C8*E8</f>
        <v>8</v>
      </c>
      <c r="G8" s="34">
        <v>4</v>
      </c>
      <c r="H8" s="31">
        <f>ROUNDUP(F8/G8, 0)</f>
        <v>2</v>
      </c>
      <c r="I8" s="34" t="s">
        <v>333</v>
      </c>
      <c r="J8" s="34" t="s">
        <v>334</v>
      </c>
      <c r="K8" s="34" t="s">
        <v>335</v>
      </c>
      <c r="L8" s="36" t="s">
        <v>329</v>
      </c>
      <c r="M8" s="37" t="s">
        <v>336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9" customHeight="1" x14ac:dyDescent="0.3">
      <c r="A9" s="31" t="s">
        <v>337</v>
      </c>
      <c r="B9" s="32" t="s">
        <v>338</v>
      </c>
      <c r="C9" s="33">
        <f>QS_DIEN_GIAI_CHI_TIET!J54</f>
        <v>1040</v>
      </c>
      <c r="D9" s="34" t="s">
        <v>16</v>
      </c>
      <c r="E9" s="33">
        <v>0.04</v>
      </c>
      <c r="F9" s="35">
        <f>C9*E9</f>
        <v>41.6</v>
      </c>
      <c r="G9" s="34">
        <v>6</v>
      </c>
      <c r="H9" s="31">
        <f>ROUNDUP(F9/G9, 0)</f>
        <v>7</v>
      </c>
      <c r="I9" s="34" t="s">
        <v>339</v>
      </c>
      <c r="J9" s="34" t="s">
        <v>340</v>
      </c>
      <c r="K9" s="34" t="s">
        <v>341</v>
      </c>
      <c r="L9" s="36" t="s">
        <v>329</v>
      </c>
      <c r="M9" s="37" t="s">
        <v>336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9" customHeight="1" x14ac:dyDescent="0.3">
      <c r="A10" s="31" t="s">
        <v>342</v>
      </c>
      <c r="B10" s="32" t="s">
        <v>343</v>
      </c>
      <c r="C10" s="33">
        <v>1</v>
      </c>
      <c r="D10" s="34" t="s">
        <v>344</v>
      </c>
      <c r="E10" s="33">
        <v>120</v>
      </c>
      <c r="F10" s="35">
        <f>C10*E10</f>
        <v>120</v>
      </c>
      <c r="G10" s="34">
        <v>10</v>
      </c>
      <c r="H10" s="31">
        <f>ROUNDUP(F10/G10, 0)</f>
        <v>12</v>
      </c>
      <c r="I10" s="34" t="s">
        <v>345</v>
      </c>
      <c r="J10" s="34" t="s">
        <v>346</v>
      </c>
      <c r="K10" s="34" t="s">
        <v>347</v>
      </c>
      <c r="L10" s="36" t="s">
        <v>329</v>
      </c>
      <c r="M10" s="25"/>
      <c r="N10" s="37" t="s">
        <v>336</v>
      </c>
      <c r="O10" s="37" t="s">
        <v>336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22" customHeight="1" x14ac:dyDescent="0.3">
      <c r="A11" s="53" t="s">
        <v>348</v>
      </c>
      <c r="B11" s="51"/>
      <c r="C11" s="51"/>
      <c r="D11" s="51"/>
      <c r="E11" s="51"/>
      <c r="F11" s="51"/>
      <c r="G11" s="51"/>
      <c r="H11" s="28" t="s">
        <v>349</v>
      </c>
      <c r="I11" s="28" t="s">
        <v>350</v>
      </c>
      <c r="J11" s="28" t="s">
        <v>351</v>
      </c>
      <c r="K11" s="29"/>
      <c r="L11" s="28" t="s">
        <v>329</v>
      </c>
      <c r="M11" s="25"/>
      <c r="N11" s="25"/>
      <c r="O11" s="30" t="s">
        <v>330</v>
      </c>
      <c r="P11" s="30" t="s">
        <v>330</v>
      </c>
      <c r="Q11" s="30" t="s">
        <v>330</v>
      </c>
      <c r="R11" s="30" t="s">
        <v>330</v>
      </c>
      <c r="S11" s="30" t="s">
        <v>330</v>
      </c>
      <c r="T11" s="30" t="s">
        <v>330</v>
      </c>
      <c r="U11" s="30" t="s">
        <v>330</v>
      </c>
      <c r="V11" s="30" t="s">
        <v>330</v>
      </c>
      <c r="W11" s="30" t="s">
        <v>330</v>
      </c>
      <c r="X11" s="30" t="s">
        <v>330</v>
      </c>
      <c r="Y11" s="30" t="s">
        <v>330</v>
      </c>
      <c r="Z11" s="30" t="s">
        <v>330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9" customHeight="1" x14ac:dyDescent="0.3">
      <c r="A12" s="31" t="s">
        <v>352</v>
      </c>
      <c r="B12" s="32" t="s">
        <v>353</v>
      </c>
      <c r="C12" s="33">
        <f>QS_DIEN_GIAI_CHI_TIET!J7</f>
        <v>76.25</v>
      </c>
      <c r="D12" s="34" t="s">
        <v>26</v>
      </c>
      <c r="E12" s="33">
        <v>0.35</v>
      </c>
      <c r="F12" s="35">
        <f t="shared" ref="F12:F23" si="0">C12*E12</f>
        <v>26.6875</v>
      </c>
      <c r="G12" s="34">
        <v>12</v>
      </c>
      <c r="H12" s="31">
        <f t="shared" ref="H12:H17" si="1">ROUNDUP(F12/G12, 0)</f>
        <v>3</v>
      </c>
      <c r="I12" s="34" t="s">
        <v>354</v>
      </c>
      <c r="J12" s="34" t="s">
        <v>355</v>
      </c>
      <c r="K12" s="34" t="s">
        <v>356</v>
      </c>
      <c r="L12" s="36" t="s">
        <v>329</v>
      </c>
      <c r="M12" s="25"/>
      <c r="N12" s="25"/>
      <c r="O12" s="37" t="s">
        <v>336</v>
      </c>
      <c r="P12" s="37" t="s">
        <v>336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9" customHeight="1" x14ac:dyDescent="0.3">
      <c r="A13" s="31" t="s">
        <v>357</v>
      </c>
      <c r="B13" s="32" t="s">
        <v>358</v>
      </c>
      <c r="C13" s="33">
        <v>98</v>
      </c>
      <c r="D13" s="34" t="s">
        <v>359</v>
      </c>
      <c r="E13" s="33">
        <v>0.25</v>
      </c>
      <c r="F13" s="35">
        <f t="shared" si="0"/>
        <v>24.5</v>
      </c>
      <c r="G13" s="34">
        <v>6</v>
      </c>
      <c r="H13" s="31">
        <f t="shared" si="1"/>
        <v>5</v>
      </c>
      <c r="I13" s="34" t="s">
        <v>360</v>
      </c>
      <c r="J13" s="34" t="s">
        <v>361</v>
      </c>
      <c r="K13" s="34" t="s">
        <v>362</v>
      </c>
      <c r="L13" s="36" t="s">
        <v>329</v>
      </c>
      <c r="M13" s="25"/>
      <c r="N13" s="25"/>
      <c r="O13" s="25"/>
      <c r="P13" s="37" t="s">
        <v>336</v>
      </c>
      <c r="Q13" s="37" t="s">
        <v>336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9" customHeight="1" x14ac:dyDescent="0.3">
      <c r="A14" s="31" t="s">
        <v>363</v>
      </c>
      <c r="B14" s="32" t="s">
        <v>364</v>
      </c>
      <c r="C14" s="33">
        <f>QS_DIEN_GIAI_CHI_TIET!J10</f>
        <v>7.5</v>
      </c>
      <c r="D14" s="34" t="s">
        <v>26</v>
      </c>
      <c r="E14" s="33">
        <v>0.85</v>
      </c>
      <c r="F14" s="35">
        <f t="shared" si="0"/>
        <v>6.375</v>
      </c>
      <c r="G14" s="34">
        <v>8</v>
      </c>
      <c r="H14" s="31">
        <f t="shared" si="1"/>
        <v>1</v>
      </c>
      <c r="I14" s="34" t="s">
        <v>365</v>
      </c>
      <c r="J14" s="34" t="s">
        <v>366</v>
      </c>
      <c r="K14" s="34" t="s">
        <v>367</v>
      </c>
      <c r="L14" s="36" t="s">
        <v>329</v>
      </c>
      <c r="M14" s="25"/>
      <c r="N14" s="25"/>
      <c r="O14" s="25"/>
      <c r="P14" s="25"/>
      <c r="Q14" s="37" t="s">
        <v>336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9" customHeight="1" x14ac:dyDescent="0.3">
      <c r="A15" s="31" t="s">
        <v>368</v>
      </c>
      <c r="B15" s="32" t="s">
        <v>369</v>
      </c>
      <c r="C15" s="33">
        <f>QS_DIEN_GIAI_CHI_TIET!J13</f>
        <v>7.15</v>
      </c>
      <c r="D15" s="34" t="s">
        <v>370</v>
      </c>
      <c r="E15" s="33">
        <v>3.2</v>
      </c>
      <c r="F15" s="35">
        <f t="shared" si="0"/>
        <v>22.880000000000003</v>
      </c>
      <c r="G15" s="34">
        <v>10</v>
      </c>
      <c r="H15" s="31">
        <f t="shared" si="1"/>
        <v>3</v>
      </c>
      <c r="I15" s="34" t="s">
        <v>371</v>
      </c>
      <c r="J15" s="34" t="s">
        <v>372</v>
      </c>
      <c r="K15" s="34" t="s">
        <v>373</v>
      </c>
      <c r="L15" s="36" t="s">
        <v>329</v>
      </c>
      <c r="M15" s="25"/>
      <c r="N15" s="25"/>
      <c r="O15" s="25"/>
      <c r="P15" s="25"/>
      <c r="Q15" s="37" t="s">
        <v>336</v>
      </c>
      <c r="R15" s="37" t="s">
        <v>336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9" customHeight="1" x14ac:dyDescent="0.3">
      <c r="A16" s="31" t="s">
        <v>374</v>
      </c>
      <c r="B16" s="32" t="s">
        <v>375</v>
      </c>
      <c r="C16" s="33">
        <v>185</v>
      </c>
      <c r="D16" s="34" t="s">
        <v>16</v>
      </c>
      <c r="E16" s="33">
        <v>0.32</v>
      </c>
      <c r="F16" s="35">
        <f t="shared" si="0"/>
        <v>59.2</v>
      </c>
      <c r="G16" s="34">
        <v>8</v>
      </c>
      <c r="H16" s="31">
        <f t="shared" si="1"/>
        <v>8</v>
      </c>
      <c r="I16" s="34" t="s">
        <v>376</v>
      </c>
      <c r="J16" s="34" t="s">
        <v>377</v>
      </c>
      <c r="K16" s="34" t="s">
        <v>378</v>
      </c>
      <c r="L16" s="36" t="s">
        <v>329</v>
      </c>
      <c r="M16" s="25"/>
      <c r="N16" s="25"/>
      <c r="O16" s="25"/>
      <c r="P16" s="25"/>
      <c r="Q16" s="25"/>
      <c r="R16" s="37" t="s">
        <v>336</v>
      </c>
      <c r="S16" s="37" t="s">
        <v>336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9" customHeight="1" x14ac:dyDescent="0.3">
      <c r="A17" s="31" t="s">
        <v>379</v>
      </c>
      <c r="B17" s="32" t="s">
        <v>380</v>
      </c>
      <c r="C17" s="33">
        <f>QS_DIEN_GIAI_CHI_TIET!J17</f>
        <v>31.46</v>
      </c>
      <c r="D17" s="34" t="s">
        <v>26</v>
      </c>
      <c r="E17" s="33">
        <v>0.42</v>
      </c>
      <c r="F17" s="35">
        <f t="shared" si="0"/>
        <v>13.213200000000001</v>
      </c>
      <c r="G17" s="34">
        <v>16</v>
      </c>
      <c r="H17" s="31">
        <f t="shared" si="1"/>
        <v>1</v>
      </c>
      <c r="I17" s="34" t="s">
        <v>381</v>
      </c>
      <c r="J17" s="34" t="s">
        <v>382</v>
      </c>
      <c r="K17" s="34" t="s">
        <v>383</v>
      </c>
      <c r="L17" s="36" t="s">
        <v>329</v>
      </c>
      <c r="M17" s="25"/>
      <c r="N17" s="25"/>
      <c r="O17" s="25"/>
      <c r="P17" s="25"/>
      <c r="Q17" s="25"/>
      <c r="R17" s="25"/>
      <c r="S17" s="37" t="s">
        <v>336</v>
      </c>
      <c r="T17" s="37" t="s">
        <v>336</v>
      </c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9" customHeight="1" x14ac:dyDescent="0.3">
      <c r="A18" s="31" t="s">
        <v>384</v>
      </c>
      <c r="B18" s="32" t="s">
        <v>385</v>
      </c>
      <c r="C18" s="33">
        <v>1</v>
      </c>
      <c r="D18" s="34" t="s">
        <v>386</v>
      </c>
      <c r="E18" s="33">
        <v>7</v>
      </c>
      <c r="F18" s="35">
        <f t="shared" si="0"/>
        <v>7</v>
      </c>
      <c r="G18" s="34">
        <v>1</v>
      </c>
      <c r="H18" s="31">
        <v>7</v>
      </c>
      <c r="I18" s="34" t="s">
        <v>387</v>
      </c>
      <c r="J18" s="34" t="s">
        <v>388</v>
      </c>
      <c r="K18" s="34" t="s">
        <v>389</v>
      </c>
      <c r="L18" s="36" t="s">
        <v>329</v>
      </c>
      <c r="M18" s="25"/>
      <c r="N18" s="25"/>
      <c r="O18" s="25"/>
      <c r="P18" s="25"/>
      <c r="Q18" s="25"/>
      <c r="R18" s="25"/>
      <c r="S18" s="25"/>
      <c r="T18" s="37" t="s">
        <v>336</v>
      </c>
      <c r="U18" s="37" t="s">
        <v>336</v>
      </c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9" customHeight="1" x14ac:dyDescent="0.3">
      <c r="A19" s="31" t="s">
        <v>390</v>
      </c>
      <c r="B19" s="32" t="s">
        <v>391</v>
      </c>
      <c r="C19" s="33">
        <f>QS_DIEN_GIAI_CHI_TIET!J23</f>
        <v>28.799999999999997</v>
      </c>
      <c r="D19" s="34" t="s">
        <v>370</v>
      </c>
      <c r="E19" s="33">
        <v>3.45</v>
      </c>
      <c r="F19" s="35">
        <f t="shared" si="0"/>
        <v>99.36</v>
      </c>
      <c r="G19" s="34">
        <v>10</v>
      </c>
      <c r="H19" s="31">
        <f>ROUNDUP(F19/G19, 0)</f>
        <v>10</v>
      </c>
      <c r="I19" s="34" t="s">
        <v>392</v>
      </c>
      <c r="J19" s="34" t="s">
        <v>393</v>
      </c>
      <c r="K19" s="34" t="s">
        <v>394</v>
      </c>
      <c r="L19" s="36" t="s">
        <v>329</v>
      </c>
      <c r="M19" s="25"/>
      <c r="N19" s="25"/>
      <c r="O19" s="25"/>
      <c r="P19" s="25"/>
      <c r="Q19" s="25"/>
      <c r="R19" s="25"/>
      <c r="S19" s="25"/>
      <c r="T19" s="25"/>
      <c r="U19" s="37" t="s">
        <v>336</v>
      </c>
      <c r="V19" s="37" t="s">
        <v>336</v>
      </c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9" customHeight="1" x14ac:dyDescent="0.3">
      <c r="A20" s="31" t="s">
        <v>395</v>
      </c>
      <c r="B20" s="32" t="s">
        <v>396</v>
      </c>
      <c r="C20" s="33">
        <v>260</v>
      </c>
      <c r="D20" s="34" t="s">
        <v>16</v>
      </c>
      <c r="E20" s="33">
        <v>0.35</v>
      </c>
      <c r="F20" s="35">
        <f t="shared" si="0"/>
        <v>91</v>
      </c>
      <c r="G20" s="34">
        <v>10</v>
      </c>
      <c r="H20" s="31">
        <f>ROUNDUP(F20/G20, 0)</f>
        <v>10</v>
      </c>
      <c r="I20" s="34" t="s">
        <v>397</v>
      </c>
      <c r="J20" s="34" t="s">
        <v>398</v>
      </c>
      <c r="K20" s="34" t="s">
        <v>399</v>
      </c>
      <c r="L20" s="36" t="s">
        <v>329</v>
      </c>
      <c r="M20" s="25"/>
      <c r="N20" s="25"/>
      <c r="O20" s="25"/>
      <c r="P20" s="25"/>
      <c r="Q20" s="25"/>
      <c r="R20" s="25"/>
      <c r="S20" s="25"/>
      <c r="T20" s="25"/>
      <c r="U20" s="25"/>
      <c r="V20" s="37" t="s">
        <v>336</v>
      </c>
      <c r="W20" s="37" t="s">
        <v>336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9" customHeight="1" x14ac:dyDescent="0.3">
      <c r="A21" s="31" t="s">
        <v>400</v>
      </c>
      <c r="B21" s="32" t="s">
        <v>401</v>
      </c>
      <c r="C21" s="33">
        <f>QS_DIEN_GIAI_CHI_TIET!J20</f>
        <v>3.3119999999999998</v>
      </c>
      <c r="D21" s="34" t="s">
        <v>26</v>
      </c>
      <c r="E21" s="33">
        <v>0.52</v>
      </c>
      <c r="F21" s="35">
        <f t="shared" si="0"/>
        <v>1.72224</v>
      </c>
      <c r="G21" s="34">
        <v>14</v>
      </c>
      <c r="H21" s="31">
        <f>ROUNDUP(F21/G21, 0)</f>
        <v>1</v>
      </c>
      <c r="I21" s="34" t="s">
        <v>402</v>
      </c>
      <c r="J21" s="34" t="s">
        <v>403</v>
      </c>
      <c r="K21" s="34" t="s">
        <v>404</v>
      </c>
      <c r="L21" s="36" t="s">
        <v>329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37" t="s">
        <v>336</v>
      </c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9" customHeight="1" x14ac:dyDescent="0.3">
      <c r="A22" s="31" t="s">
        <v>405</v>
      </c>
      <c r="B22" s="32" t="s">
        <v>406</v>
      </c>
      <c r="C22" s="33">
        <v>8</v>
      </c>
      <c r="D22" s="34" t="s">
        <v>407</v>
      </c>
      <c r="E22" s="33">
        <v>1.8</v>
      </c>
      <c r="F22" s="35">
        <f t="shared" si="0"/>
        <v>14.4</v>
      </c>
      <c r="G22" s="34">
        <v>4</v>
      </c>
      <c r="H22" s="31">
        <f>ROUNDUP(F22/G22, 0)</f>
        <v>4</v>
      </c>
      <c r="I22" s="34" t="s">
        <v>408</v>
      </c>
      <c r="J22" s="34" t="s">
        <v>409</v>
      </c>
      <c r="K22" s="34" t="s">
        <v>410</v>
      </c>
      <c r="L22" s="36" t="s">
        <v>329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37" t="s">
        <v>336</v>
      </c>
      <c r="X22" s="37" t="s">
        <v>336</v>
      </c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9" customHeight="1" x14ac:dyDescent="0.3">
      <c r="A23" s="31" t="s">
        <v>411</v>
      </c>
      <c r="B23" s="32" t="s">
        <v>412</v>
      </c>
      <c r="C23" s="33">
        <f>QS_DIEN_GIAI_CHI_TIET!J26</f>
        <v>196</v>
      </c>
      <c r="D23" s="34" t="s">
        <v>26</v>
      </c>
      <c r="E23" s="33">
        <v>0.28000000000000003</v>
      </c>
      <c r="F23" s="35">
        <f t="shared" si="0"/>
        <v>54.88</v>
      </c>
      <c r="G23" s="34">
        <v>8</v>
      </c>
      <c r="H23" s="31">
        <f>ROUNDUP(F23/G23, 0)</f>
        <v>7</v>
      </c>
      <c r="I23" s="34" t="s">
        <v>413</v>
      </c>
      <c r="J23" s="34" t="s">
        <v>414</v>
      </c>
      <c r="K23" s="34" t="s">
        <v>415</v>
      </c>
      <c r="L23" s="34" t="s">
        <v>416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38" t="s">
        <v>336</v>
      </c>
      <c r="Y23" s="38" t="s">
        <v>336</v>
      </c>
      <c r="Z23" s="38" t="s">
        <v>336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22" customHeight="1" x14ac:dyDescent="0.3">
      <c r="A24" s="53" t="s">
        <v>417</v>
      </c>
      <c r="B24" s="51"/>
      <c r="C24" s="51"/>
      <c r="D24" s="51"/>
      <c r="E24" s="51"/>
      <c r="F24" s="51"/>
      <c r="G24" s="51"/>
      <c r="H24" s="28" t="s">
        <v>418</v>
      </c>
      <c r="I24" s="28" t="s">
        <v>419</v>
      </c>
      <c r="J24" s="28" t="s">
        <v>420</v>
      </c>
      <c r="K24" s="29"/>
      <c r="L24" s="28" t="s">
        <v>329</v>
      </c>
      <c r="M24" s="25"/>
      <c r="N24" s="25"/>
      <c r="O24" s="25"/>
      <c r="P24" s="25"/>
      <c r="Q24" s="25"/>
      <c r="R24" s="25"/>
      <c r="S24" s="25"/>
      <c r="T24" s="30" t="s">
        <v>330</v>
      </c>
      <c r="U24" s="30" t="s">
        <v>330</v>
      </c>
      <c r="V24" s="30" t="s">
        <v>330</v>
      </c>
      <c r="W24" s="30" t="s">
        <v>330</v>
      </c>
      <c r="X24" s="30" t="s">
        <v>330</v>
      </c>
      <c r="Y24" s="30" t="s">
        <v>330</v>
      </c>
      <c r="Z24" s="30" t="s">
        <v>330</v>
      </c>
      <c r="AA24" s="30" t="s">
        <v>330</v>
      </c>
      <c r="AB24" s="30" t="s">
        <v>330</v>
      </c>
      <c r="AC24" s="30" t="s">
        <v>330</v>
      </c>
      <c r="AD24" s="30" t="s">
        <v>330</v>
      </c>
      <c r="AE24" s="30" t="s">
        <v>330</v>
      </c>
      <c r="AF24" s="25"/>
      <c r="AG24" s="25"/>
      <c r="AH24" s="25"/>
      <c r="AI24" s="25"/>
      <c r="AJ24" s="25"/>
      <c r="AK24" s="25"/>
    </row>
    <row r="25" spans="1:37" ht="19" customHeight="1" x14ac:dyDescent="0.3">
      <c r="A25" s="31" t="s">
        <v>421</v>
      </c>
      <c r="B25" s="32" t="s">
        <v>422</v>
      </c>
      <c r="C25" s="33">
        <f>QS_DIEN_GIAI_CHI_TIET!J32</f>
        <v>7.6960000000000015</v>
      </c>
      <c r="D25" s="34" t="s">
        <v>370</v>
      </c>
      <c r="E25" s="33">
        <v>3.8</v>
      </c>
      <c r="F25" s="35">
        <f t="shared" ref="F25:F30" si="2">C25*E25</f>
        <v>29.244800000000005</v>
      </c>
      <c r="G25" s="34">
        <v>12</v>
      </c>
      <c r="H25" s="31">
        <f>ROUNDUP(F25/G25, 0)</f>
        <v>3</v>
      </c>
      <c r="I25" s="34" t="s">
        <v>423</v>
      </c>
      <c r="J25" s="34" t="s">
        <v>424</v>
      </c>
      <c r="K25" s="34" t="s">
        <v>425</v>
      </c>
      <c r="L25" s="34" t="s">
        <v>416</v>
      </c>
      <c r="M25" s="25"/>
      <c r="N25" s="25"/>
      <c r="O25" s="25"/>
      <c r="P25" s="25"/>
      <c r="Q25" s="25"/>
      <c r="R25" s="25"/>
      <c r="S25" s="25"/>
      <c r="T25" s="38" t="s">
        <v>336</v>
      </c>
      <c r="U25" s="38" t="s">
        <v>336</v>
      </c>
      <c r="V25" s="38" t="s">
        <v>336</v>
      </c>
      <c r="W25" s="38" t="s">
        <v>336</v>
      </c>
      <c r="X25" s="38" t="s">
        <v>336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9" customHeight="1" x14ac:dyDescent="0.3">
      <c r="A26" s="31" t="s">
        <v>426</v>
      </c>
      <c r="B26" s="32" t="s">
        <v>427</v>
      </c>
      <c r="C26" s="33">
        <v>320</v>
      </c>
      <c r="D26" s="34" t="s">
        <v>16</v>
      </c>
      <c r="E26" s="33">
        <v>0.3</v>
      </c>
      <c r="F26" s="35">
        <f t="shared" si="2"/>
        <v>96</v>
      </c>
      <c r="G26" s="34">
        <v>8</v>
      </c>
      <c r="H26" s="31">
        <f>ROUNDUP(F26/G26, 0)</f>
        <v>12</v>
      </c>
      <c r="I26" s="34" t="s">
        <v>428</v>
      </c>
      <c r="J26" s="34" t="s">
        <v>414</v>
      </c>
      <c r="K26" s="34" t="s">
        <v>429</v>
      </c>
      <c r="L26" s="34" t="s">
        <v>416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38" t="s">
        <v>336</v>
      </c>
      <c r="Y26" s="38" t="s">
        <v>336</v>
      </c>
      <c r="Z26" s="38" t="s">
        <v>336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9" customHeight="1" x14ac:dyDescent="0.3">
      <c r="A27" s="31" t="s">
        <v>430</v>
      </c>
      <c r="B27" s="32" t="s">
        <v>431</v>
      </c>
      <c r="C27" s="33">
        <f>QS_DIEN_GIAI_CHI_TIET!J29</f>
        <v>0</v>
      </c>
      <c r="D27" s="34" t="s">
        <v>26</v>
      </c>
      <c r="E27" s="33">
        <v>0.65</v>
      </c>
      <c r="F27" s="35">
        <f t="shared" si="2"/>
        <v>0</v>
      </c>
      <c r="G27" s="34">
        <v>14</v>
      </c>
      <c r="H27" s="31">
        <f>ROUNDUP(F27/G27, 0)</f>
        <v>0</v>
      </c>
      <c r="I27" s="34" t="s">
        <v>432</v>
      </c>
      <c r="J27" s="34" t="s">
        <v>433</v>
      </c>
      <c r="K27" s="34" t="s">
        <v>434</v>
      </c>
      <c r="L27" s="34" t="s">
        <v>416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38" t="s">
        <v>336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9" customHeight="1" x14ac:dyDescent="0.3">
      <c r="A28" s="31" t="s">
        <v>435</v>
      </c>
      <c r="B28" s="32" t="s">
        <v>436</v>
      </c>
      <c r="C28" s="33">
        <v>1</v>
      </c>
      <c r="D28" s="34" t="s">
        <v>386</v>
      </c>
      <c r="E28" s="33">
        <v>28</v>
      </c>
      <c r="F28" s="35">
        <f t="shared" si="2"/>
        <v>28</v>
      </c>
      <c r="G28" s="34">
        <v>1</v>
      </c>
      <c r="H28" s="31">
        <v>28</v>
      </c>
      <c r="I28" s="34" t="s">
        <v>437</v>
      </c>
      <c r="J28" s="34" t="s">
        <v>438</v>
      </c>
      <c r="K28" s="34" t="s">
        <v>439</v>
      </c>
      <c r="L28" s="36" t="s">
        <v>329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37" t="s">
        <v>336</v>
      </c>
      <c r="AA28" s="37" t="s">
        <v>336</v>
      </c>
      <c r="AB28" s="37" t="s">
        <v>336</v>
      </c>
      <c r="AC28" s="37" t="s">
        <v>336</v>
      </c>
      <c r="AD28" s="37" t="s">
        <v>336</v>
      </c>
      <c r="AE28" s="25"/>
      <c r="AF28" s="25"/>
      <c r="AG28" s="25"/>
      <c r="AH28" s="25"/>
      <c r="AI28" s="25"/>
      <c r="AJ28" s="25"/>
      <c r="AK28" s="25"/>
    </row>
    <row r="29" spans="1:37" ht="19" customHeight="1" x14ac:dyDescent="0.3">
      <c r="A29" s="31" t="s">
        <v>440</v>
      </c>
      <c r="B29" s="32" t="s">
        <v>441</v>
      </c>
      <c r="C29" s="33">
        <v>4</v>
      </c>
      <c r="D29" s="34" t="s">
        <v>442</v>
      </c>
      <c r="E29" s="33">
        <v>4</v>
      </c>
      <c r="F29" s="35">
        <f t="shared" si="2"/>
        <v>16</v>
      </c>
      <c r="G29" s="34">
        <v>8</v>
      </c>
      <c r="H29" s="31">
        <f>ROUNDUP(F29/G29, 0)</f>
        <v>2</v>
      </c>
      <c r="I29" s="34" t="s">
        <v>443</v>
      </c>
      <c r="J29" s="34" t="s">
        <v>444</v>
      </c>
      <c r="K29" s="34" t="s">
        <v>445</v>
      </c>
      <c r="L29" s="36" t="s">
        <v>329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37" t="s">
        <v>336</v>
      </c>
      <c r="AE29" s="25"/>
      <c r="AF29" s="25"/>
      <c r="AG29" s="25"/>
      <c r="AH29" s="25"/>
      <c r="AI29" s="25"/>
      <c r="AJ29" s="25"/>
      <c r="AK29" s="25"/>
    </row>
    <row r="30" spans="1:37" ht="19" customHeight="1" x14ac:dyDescent="0.3">
      <c r="A30" s="31" t="s">
        <v>446</v>
      </c>
      <c r="B30" s="32" t="s">
        <v>447</v>
      </c>
      <c r="C30" s="33">
        <f>QS_DIEN_GIAI_CHI_TIET!J36</f>
        <v>17.850000000000001</v>
      </c>
      <c r="D30" s="34" t="s">
        <v>26</v>
      </c>
      <c r="E30" s="33">
        <v>1.2</v>
      </c>
      <c r="F30" s="35">
        <f t="shared" si="2"/>
        <v>21.42</v>
      </c>
      <c r="G30" s="34">
        <v>8</v>
      </c>
      <c r="H30" s="31">
        <f>ROUNDUP(F30/G30, 0)</f>
        <v>3</v>
      </c>
      <c r="I30" s="34" t="s">
        <v>448</v>
      </c>
      <c r="J30" s="34" t="s">
        <v>449</v>
      </c>
      <c r="K30" s="34" t="s">
        <v>450</v>
      </c>
      <c r="L30" s="36" t="s">
        <v>329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37" t="s">
        <v>336</v>
      </c>
      <c r="AE30" s="37" t="s">
        <v>336</v>
      </c>
      <c r="AF30" s="25"/>
      <c r="AG30" s="25"/>
      <c r="AH30" s="25"/>
      <c r="AI30" s="25"/>
      <c r="AJ30" s="25"/>
      <c r="AK30" s="25"/>
    </row>
    <row r="31" spans="1:37" ht="22" customHeight="1" x14ac:dyDescent="0.3">
      <c r="A31" s="53" t="s">
        <v>451</v>
      </c>
      <c r="B31" s="51"/>
      <c r="C31" s="51"/>
      <c r="D31" s="51"/>
      <c r="E31" s="51"/>
      <c r="F31" s="51"/>
      <c r="G31" s="51"/>
      <c r="H31" s="28" t="s">
        <v>452</v>
      </c>
      <c r="I31" s="28" t="s">
        <v>453</v>
      </c>
      <c r="J31" s="28" t="s">
        <v>454</v>
      </c>
      <c r="K31" s="29"/>
      <c r="L31" s="28" t="s">
        <v>329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30" t="s">
        <v>330</v>
      </c>
      <c r="AF31" s="30" t="s">
        <v>330</v>
      </c>
      <c r="AG31" s="30" t="s">
        <v>330</v>
      </c>
      <c r="AH31" s="30" t="s">
        <v>330</v>
      </c>
      <c r="AI31" s="30" t="s">
        <v>330</v>
      </c>
      <c r="AJ31" s="30" t="s">
        <v>330</v>
      </c>
      <c r="AK31" s="30" t="s">
        <v>330</v>
      </c>
    </row>
    <row r="32" spans="1:37" ht="19" customHeight="1" x14ac:dyDescent="0.3">
      <c r="A32" s="31" t="s">
        <v>455</v>
      </c>
      <c r="B32" s="32" t="s">
        <v>456</v>
      </c>
      <c r="C32" s="33">
        <f>QS_DIEN_GIAI_CHI_TIET!J42</f>
        <v>18.399999999999999</v>
      </c>
      <c r="D32" s="34" t="s">
        <v>370</v>
      </c>
      <c r="E32" s="33">
        <v>4.2</v>
      </c>
      <c r="F32" s="35">
        <f t="shared" ref="F32:F41" si="3">C32*E32</f>
        <v>77.28</v>
      </c>
      <c r="G32" s="34">
        <v>8</v>
      </c>
      <c r="H32" s="31">
        <f>ROUNDUP(F32/G32, 0)</f>
        <v>10</v>
      </c>
      <c r="I32" s="34" t="s">
        <v>457</v>
      </c>
      <c r="J32" s="34" t="s">
        <v>458</v>
      </c>
      <c r="K32" s="34" t="s">
        <v>459</v>
      </c>
      <c r="L32" s="36" t="s">
        <v>329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37" t="s">
        <v>336</v>
      </c>
      <c r="AF32" s="25"/>
      <c r="AG32" s="25"/>
      <c r="AH32" s="25"/>
      <c r="AI32" s="25"/>
      <c r="AJ32" s="25"/>
      <c r="AK32" s="25"/>
    </row>
    <row r="33" spans="1:37" ht="19" customHeight="1" x14ac:dyDescent="0.3">
      <c r="A33" s="31" t="s">
        <v>460</v>
      </c>
      <c r="B33" s="32" t="s">
        <v>461</v>
      </c>
      <c r="C33" s="33">
        <f>QS_DIEN_GIAI_CHI_TIET!J39</f>
        <v>11.04</v>
      </c>
      <c r="D33" s="34" t="s">
        <v>26</v>
      </c>
      <c r="E33" s="33">
        <v>0.55000000000000004</v>
      </c>
      <c r="F33" s="35">
        <f t="shared" si="3"/>
        <v>6.0720000000000001</v>
      </c>
      <c r="G33" s="34">
        <v>16</v>
      </c>
      <c r="H33" s="31">
        <f>ROUNDUP(F33/G33, 0)</f>
        <v>1</v>
      </c>
      <c r="I33" s="34" t="s">
        <v>462</v>
      </c>
      <c r="J33" s="34" t="s">
        <v>463</v>
      </c>
      <c r="K33" s="34" t="s">
        <v>464</v>
      </c>
      <c r="L33" s="36" t="s">
        <v>329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37" t="s">
        <v>336</v>
      </c>
      <c r="AF33" s="25"/>
      <c r="AG33" s="25"/>
      <c r="AH33" s="25"/>
      <c r="AI33" s="25"/>
      <c r="AJ33" s="25"/>
      <c r="AK33" s="25"/>
    </row>
    <row r="34" spans="1:37" ht="19" customHeight="1" x14ac:dyDescent="0.3">
      <c r="A34" s="31" t="s">
        <v>465</v>
      </c>
      <c r="B34" s="32" t="s">
        <v>466</v>
      </c>
      <c r="C34" s="33">
        <v>1</v>
      </c>
      <c r="D34" s="34" t="s">
        <v>386</v>
      </c>
      <c r="E34" s="33">
        <v>14</v>
      </c>
      <c r="F34" s="35">
        <f t="shared" si="3"/>
        <v>14</v>
      </c>
      <c r="G34" s="34">
        <v>1</v>
      </c>
      <c r="H34" s="31">
        <v>14</v>
      </c>
      <c r="I34" s="34" t="s">
        <v>467</v>
      </c>
      <c r="J34" s="34" t="s">
        <v>468</v>
      </c>
      <c r="K34" s="34" t="s">
        <v>469</v>
      </c>
      <c r="L34" s="36" t="s">
        <v>329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37" t="s">
        <v>336</v>
      </c>
      <c r="AF34" s="37" t="s">
        <v>336</v>
      </c>
      <c r="AG34" s="37" t="s">
        <v>336</v>
      </c>
      <c r="AH34" s="25"/>
      <c r="AI34" s="25"/>
      <c r="AJ34" s="25"/>
      <c r="AK34" s="25"/>
    </row>
    <row r="35" spans="1:37" ht="19" customHeight="1" x14ac:dyDescent="0.3">
      <c r="A35" s="31" t="s">
        <v>470</v>
      </c>
      <c r="B35" s="32" t="s">
        <v>471</v>
      </c>
      <c r="C35" s="33">
        <f>QS_DIEN_GIAI_CHI_TIET!J45</f>
        <v>3753.75</v>
      </c>
      <c r="D35" s="34" t="s">
        <v>472</v>
      </c>
      <c r="E35" s="33">
        <v>0.45</v>
      </c>
      <c r="F35" s="35">
        <f t="shared" si="3"/>
        <v>1689.1875</v>
      </c>
      <c r="G35" s="34">
        <v>6</v>
      </c>
      <c r="H35" s="31">
        <f t="shared" ref="H35:H41" si="4">ROUNDUP(F35/G35, 0)</f>
        <v>282</v>
      </c>
      <c r="I35" s="34" t="s">
        <v>473</v>
      </c>
      <c r="J35" s="34" t="s">
        <v>474</v>
      </c>
      <c r="K35" s="34" t="s">
        <v>475</v>
      </c>
      <c r="L35" s="34" t="s">
        <v>416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38" t="s">
        <v>336</v>
      </c>
      <c r="AH35" s="38" t="s">
        <v>336</v>
      </c>
      <c r="AI35" s="25"/>
      <c r="AJ35" s="25"/>
      <c r="AK35" s="25"/>
    </row>
    <row r="36" spans="1:37" ht="19" customHeight="1" x14ac:dyDescent="0.3">
      <c r="A36" s="31" t="s">
        <v>476</v>
      </c>
      <c r="B36" s="32" t="s">
        <v>477</v>
      </c>
      <c r="C36" s="33">
        <f>QS_DIEN_GIAI_CHI_TIET!J47</f>
        <v>168</v>
      </c>
      <c r="D36" s="34" t="s">
        <v>472</v>
      </c>
      <c r="E36" s="33">
        <v>1.5</v>
      </c>
      <c r="F36" s="35">
        <f t="shared" si="3"/>
        <v>252</v>
      </c>
      <c r="G36" s="34">
        <v>6</v>
      </c>
      <c r="H36" s="31">
        <f t="shared" si="4"/>
        <v>42</v>
      </c>
      <c r="I36" s="34" t="s">
        <v>478</v>
      </c>
      <c r="J36" s="34" t="s">
        <v>479</v>
      </c>
      <c r="K36" s="34" t="s">
        <v>475</v>
      </c>
      <c r="L36" s="36" t="s">
        <v>329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7" t="s">
        <v>336</v>
      </c>
      <c r="AI36" s="25"/>
      <c r="AJ36" s="25"/>
      <c r="AK36" s="25"/>
    </row>
    <row r="37" spans="1:37" ht="19" customHeight="1" x14ac:dyDescent="0.3">
      <c r="A37" s="31" t="s">
        <v>480</v>
      </c>
      <c r="B37" s="32" t="s">
        <v>481</v>
      </c>
      <c r="C37" s="33">
        <f>QS_DIEN_GIAI_CHI_TIET!J49</f>
        <v>40</v>
      </c>
      <c r="D37" s="34" t="s">
        <v>16</v>
      </c>
      <c r="E37" s="33">
        <v>0.05</v>
      </c>
      <c r="F37" s="35">
        <f t="shared" si="3"/>
        <v>2</v>
      </c>
      <c r="G37" s="34">
        <v>8</v>
      </c>
      <c r="H37" s="31">
        <f t="shared" si="4"/>
        <v>1</v>
      </c>
      <c r="I37" s="34" t="s">
        <v>482</v>
      </c>
      <c r="J37" s="34" t="s">
        <v>482</v>
      </c>
      <c r="K37" s="34" t="s">
        <v>483</v>
      </c>
      <c r="L37" s="36" t="s">
        <v>329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37" t="s">
        <v>336</v>
      </c>
      <c r="AI37" s="25"/>
      <c r="AJ37" s="25"/>
      <c r="AK37" s="25"/>
    </row>
    <row r="38" spans="1:37" ht="19" customHeight="1" x14ac:dyDescent="0.3">
      <c r="A38" s="31" t="s">
        <v>484</v>
      </c>
      <c r="B38" s="32" t="s">
        <v>485</v>
      </c>
      <c r="C38" s="33">
        <f>QS_DIEN_GIAI_CHI_TIET!J51</f>
        <v>12</v>
      </c>
      <c r="D38" s="34" t="s">
        <v>26</v>
      </c>
      <c r="E38" s="33">
        <v>0.85</v>
      </c>
      <c r="F38" s="35">
        <f t="shared" si="3"/>
        <v>10.199999999999999</v>
      </c>
      <c r="G38" s="34">
        <v>10</v>
      </c>
      <c r="H38" s="31">
        <f t="shared" si="4"/>
        <v>2</v>
      </c>
      <c r="I38" s="34" t="s">
        <v>486</v>
      </c>
      <c r="J38" s="34" t="s">
        <v>487</v>
      </c>
      <c r="K38" s="34" t="s">
        <v>488</v>
      </c>
      <c r="L38" s="36" t="s">
        <v>329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37" t="s">
        <v>336</v>
      </c>
      <c r="AI38" s="37" t="s">
        <v>336</v>
      </c>
      <c r="AJ38" s="25"/>
      <c r="AK38" s="25"/>
    </row>
    <row r="39" spans="1:37" ht="19" customHeight="1" x14ac:dyDescent="0.3">
      <c r="A39" s="31" t="s">
        <v>489</v>
      </c>
      <c r="B39" s="32" t="s">
        <v>490</v>
      </c>
      <c r="C39" s="33">
        <v>65</v>
      </c>
      <c r="D39" s="34" t="s">
        <v>26</v>
      </c>
      <c r="E39" s="33">
        <v>0.75</v>
      </c>
      <c r="F39" s="35">
        <f t="shared" si="3"/>
        <v>48.75</v>
      </c>
      <c r="G39" s="34">
        <v>10</v>
      </c>
      <c r="H39" s="31">
        <f t="shared" si="4"/>
        <v>5</v>
      </c>
      <c r="I39" s="34" t="s">
        <v>491</v>
      </c>
      <c r="J39" s="34" t="s">
        <v>492</v>
      </c>
      <c r="K39" s="34" t="s">
        <v>493</v>
      </c>
      <c r="L39" s="34" t="s">
        <v>416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8" t="s">
        <v>336</v>
      </c>
      <c r="AJ39" s="25"/>
      <c r="AK39" s="25"/>
    </row>
    <row r="40" spans="1:37" ht="19" customHeight="1" x14ac:dyDescent="0.3">
      <c r="A40" s="31" t="s">
        <v>494</v>
      </c>
      <c r="B40" s="32" t="s">
        <v>495</v>
      </c>
      <c r="C40" s="33">
        <v>1</v>
      </c>
      <c r="D40" s="34" t="s">
        <v>496</v>
      </c>
      <c r="E40" s="33">
        <v>80</v>
      </c>
      <c r="F40" s="35">
        <f t="shared" si="3"/>
        <v>80</v>
      </c>
      <c r="G40" s="34">
        <v>10</v>
      </c>
      <c r="H40" s="31">
        <f t="shared" si="4"/>
        <v>8</v>
      </c>
      <c r="I40" s="34" t="s">
        <v>497</v>
      </c>
      <c r="J40" s="34" t="s">
        <v>498</v>
      </c>
      <c r="K40" s="34" t="s">
        <v>493</v>
      </c>
      <c r="L40" s="36" t="s">
        <v>329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7" t="s">
        <v>336</v>
      </c>
      <c r="AJ40" s="37" t="s">
        <v>336</v>
      </c>
      <c r="AK40" s="25"/>
    </row>
    <row r="41" spans="1:37" ht="19" customHeight="1" x14ac:dyDescent="0.3">
      <c r="A41" s="31" t="s">
        <v>499</v>
      </c>
      <c r="B41" s="32" t="s">
        <v>500</v>
      </c>
      <c r="C41" s="33">
        <v>1</v>
      </c>
      <c r="D41" s="34" t="s">
        <v>496</v>
      </c>
      <c r="E41" s="33">
        <v>24</v>
      </c>
      <c r="F41" s="35">
        <f t="shared" si="3"/>
        <v>24</v>
      </c>
      <c r="G41" s="34">
        <v>6</v>
      </c>
      <c r="H41" s="31">
        <f t="shared" si="4"/>
        <v>4</v>
      </c>
      <c r="I41" s="34" t="s">
        <v>501</v>
      </c>
      <c r="J41" s="34" t="s">
        <v>502</v>
      </c>
      <c r="K41" s="34" t="s">
        <v>503</v>
      </c>
      <c r="L41" s="36" t="s">
        <v>329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37" t="s">
        <v>336</v>
      </c>
      <c r="AK41" s="37" t="s">
        <v>336</v>
      </c>
    </row>
    <row r="43" spans="1:37" x14ac:dyDescent="0.3">
      <c r="B43" s="39" t="s">
        <v>504</v>
      </c>
      <c r="D43" s="40" t="s">
        <v>336</v>
      </c>
      <c r="E43" s="41" t="s">
        <v>505</v>
      </c>
    </row>
    <row r="44" spans="1:37" x14ac:dyDescent="0.3">
      <c r="D44" s="42" t="s">
        <v>336</v>
      </c>
      <c r="E44" s="41" t="s">
        <v>506</v>
      </c>
    </row>
    <row r="45" spans="1:37" x14ac:dyDescent="0.3">
      <c r="D45" s="43" t="s">
        <v>330</v>
      </c>
      <c r="E45" s="41" t="s">
        <v>507</v>
      </c>
    </row>
  </sheetData>
  <mergeCells count="22">
    <mergeCell ref="A31:G31"/>
    <mergeCell ref="U4:X4"/>
    <mergeCell ref="Y4:AB4"/>
    <mergeCell ref="A24:G24"/>
    <mergeCell ref="A11:G11"/>
    <mergeCell ref="I5:I6"/>
    <mergeCell ref="A5:A6"/>
    <mergeCell ref="G5:G6"/>
    <mergeCell ref="A7:G7"/>
    <mergeCell ref="B5:B6"/>
    <mergeCell ref="D5:D6"/>
    <mergeCell ref="H5:H6"/>
    <mergeCell ref="J5:J6"/>
    <mergeCell ref="Q4:T4"/>
    <mergeCell ref="K5:K6"/>
    <mergeCell ref="C5:C6"/>
    <mergeCell ref="E5:E6"/>
    <mergeCell ref="AG4:AK4"/>
    <mergeCell ref="F5:F6"/>
    <mergeCell ref="L5:L6"/>
    <mergeCell ref="M4:P4"/>
    <mergeCell ref="AC4:A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23"/>
  <sheetViews>
    <sheetView workbookViewId="0">
      <selection activeCell="A24" sqref="A24"/>
    </sheetView>
  </sheetViews>
  <sheetFormatPr defaultRowHeight="14" x14ac:dyDescent="0.3"/>
  <cols>
    <col min="1" max="1" width="11" customWidth="1"/>
    <col min="2" max="2" width="22.1640625" customWidth="1"/>
    <col min="3" max="3" width="45" customWidth="1"/>
    <col min="4" max="4" width="29" customWidth="1"/>
    <col min="5" max="5" width="13" customWidth="1"/>
    <col min="6" max="6" width="40" customWidth="1"/>
    <col min="7" max="7" width="45" customWidth="1"/>
  </cols>
  <sheetData>
    <row r="2" spans="1:7" ht="16.5" customHeight="1" x14ac:dyDescent="0.35">
      <c r="B2" s="1" t="s">
        <v>0</v>
      </c>
    </row>
    <row r="3" spans="1:7" x14ac:dyDescent="0.3">
      <c r="B3" s="2" t="s">
        <v>1</v>
      </c>
    </row>
    <row r="5" spans="1:7" ht="28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x14ac:dyDescent="0.3">
      <c r="A6" s="4">
        <v>1</v>
      </c>
      <c r="B6" s="4" t="s">
        <v>9</v>
      </c>
      <c r="C6" s="6" t="s">
        <v>10</v>
      </c>
      <c r="D6" s="9">
        <v>1</v>
      </c>
      <c r="E6" s="4" t="s">
        <v>11</v>
      </c>
      <c r="F6" s="4" t="s">
        <v>12</v>
      </c>
      <c r="G6" s="6" t="s">
        <v>13</v>
      </c>
    </row>
    <row r="7" spans="1:7" x14ac:dyDescent="0.3">
      <c r="A7" s="4">
        <v>2</v>
      </c>
      <c r="B7" s="4" t="s">
        <v>14</v>
      </c>
      <c r="C7" s="6" t="s">
        <v>15</v>
      </c>
      <c r="D7" s="7">
        <f>QS_DIEN_GIAI_CHI_TIET!J54</f>
        <v>1040</v>
      </c>
      <c r="E7" s="4" t="s">
        <v>16</v>
      </c>
      <c r="F7" s="4" t="s">
        <v>17</v>
      </c>
      <c r="G7" s="6" t="s">
        <v>18</v>
      </c>
    </row>
    <row r="8" spans="1:7" x14ac:dyDescent="0.3">
      <c r="A8" s="4">
        <v>3</v>
      </c>
      <c r="B8" s="4" t="s">
        <v>19</v>
      </c>
      <c r="C8" s="6" t="s">
        <v>20</v>
      </c>
      <c r="D8" s="9">
        <v>1</v>
      </c>
      <c r="E8" s="4" t="s">
        <v>21</v>
      </c>
      <c r="F8" s="4" t="s">
        <v>22</v>
      </c>
      <c r="G8" s="6" t="s">
        <v>23</v>
      </c>
    </row>
    <row r="9" spans="1:7" x14ac:dyDescent="0.3">
      <c r="A9" s="4">
        <v>4</v>
      </c>
      <c r="B9" s="4" t="s">
        <v>24</v>
      </c>
      <c r="C9" s="6" t="s">
        <v>25</v>
      </c>
      <c r="D9" s="7">
        <f>QS_DIEN_GIAI_CHI_TIET!J7</f>
        <v>76.25</v>
      </c>
      <c r="E9" s="4" t="s">
        <v>26</v>
      </c>
      <c r="F9" s="4" t="s">
        <v>27</v>
      </c>
      <c r="G9" s="6" t="s">
        <v>28</v>
      </c>
    </row>
    <row r="10" spans="1:7" x14ac:dyDescent="0.3">
      <c r="A10" s="4">
        <v>5</v>
      </c>
      <c r="B10" s="4" t="s">
        <v>29</v>
      </c>
      <c r="C10" s="6" t="s">
        <v>30</v>
      </c>
      <c r="D10" s="7">
        <f>QS_DIEN_GIAI_CHI_TIET!J26</f>
        <v>196</v>
      </c>
      <c r="E10" s="4" t="s">
        <v>31</v>
      </c>
      <c r="F10" s="4" t="s">
        <v>32</v>
      </c>
      <c r="G10" s="6" t="s">
        <v>33</v>
      </c>
    </row>
    <row r="11" spans="1:7" x14ac:dyDescent="0.3">
      <c r="A11" s="4">
        <v>6</v>
      </c>
      <c r="B11" s="4" t="s">
        <v>34</v>
      </c>
      <c r="C11" s="6" t="s">
        <v>35</v>
      </c>
      <c r="D11" s="7">
        <f>QS_DIEN_GIAI_CHI_TIET!J25</f>
        <v>7.6810157999999999</v>
      </c>
      <c r="E11" s="4" t="s">
        <v>36</v>
      </c>
      <c r="F11" s="4" t="s">
        <v>37</v>
      </c>
      <c r="G11" s="6" t="s">
        <v>38</v>
      </c>
    </row>
    <row r="12" spans="1:7" x14ac:dyDescent="0.3">
      <c r="A12" s="4">
        <v>7</v>
      </c>
      <c r="B12" s="4" t="s">
        <v>39</v>
      </c>
      <c r="C12" s="6" t="s">
        <v>40</v>
      </c>
      <c r="D12" s="7">
        <f>QS_DIEN_GIAI_CHI_TIET!J14</f>
        <v>233.75</v>
      </c>
      <c r="E12" s="4" t="s">
        <v>26</v>
      </c>
      <c r="F12" s="4" t="s">
        <v>41</v>
      </c>
      <c r="G12" s="6" t="s">
        <v>42</v>
      </c>
    </row>
    <row r="13" spans="1:7" x14ac:dyDescent="0.3">
      <c r="A13" s="4">
        <v>8</v>
      </c>
      <c r="B13" s="4" t="s">
        <v>43</v>
      </c>
      <c r="C13" s="6" t="s">
        <v>44</v>
      </c>
      <c r="D13" s="7">
        <f>QS_DIEN_GIAI_CHI_TIET!J17</f>
        <v>31.46</v>
      </c>
      <c r="E13" s="4" t="s">
        <v>26</v>
      </c>
      <c r="F13" s="4" t="s">
        <v>45</v>
      </c>
      <c r="G13" s="6" t="s">
        <v>46</v>
      </c>
    </row>
    <row r="14" spans="1:7" x14ac:dyDescent="0.3">
      <c r="A14" s="4">
        <v>9</v>
      </c>
      <c r="B14" s="4" t="s">
        <v>47</v>
      </c>
      <c r="C14" s="6" t="s">
        <v>48</v>
      </c>
      <c r="D14" s="7">
        <f>QS_DIEN_GIAI_CHI_TIET!J22</f>
        <v>55.2</v>
      </c>
      <c r="E14" s="4" t="s">
        <v>26</v>
      </c>
      <c r="F14" s="4" t="s">
        <v>37</v>
      </c>
      <c r="G14" s="6" t="s">
        <v>49</v>
      </c>
    </row>
    <row r="15" spans="1:7" x14ac:dyDescent="0.3">
      <c r="A15" s="4">
        <v>10</v>
      </c>
      <c r="B15" s="4" t="s">
        <v>50</v>
      </c>
      <c r="C15" s="6" t="s">
        <v>51</v>
      </c>
      <c r="D15" s="7">
        <f>QS_DIEN_GIAI_CHI_TIET!J34</f>
        <v>6.7405920000000004</v>
      </c>
      <c r="E15" s="4" t="s">
        <v>36</v>
      </c>
      <c r="F15" s="4" t="s">
        <v>22</v>
      </c>
      <c r="G15" s="6" t="s">
        <v>52</v>
      </c>
    </row>
    <row r="16" spans="1:7" x14ac:dyDescent="0.3">
      <c r="A16" s="4">
        <v>11</v>
      </c>
      <c r="B16" s="4" t="s">
        <v>53</v>
      </c>
      <c r="C16" s="6" t="s">
        <v>54</v>
      </c>
      <c r="D16" s="7">
        <f>QS_DIEN_GIAI_CHI_TIET!J30</f>
        <v>40.700000000000003</v>
      </c>
      <c r="E16" s="4" t="s">
        <v>26</v>
      </c>
      <c r="F16" s="4" t="s">
        <v>41</v>
      </c>
      <c r="G16" s="6" t="s">
        <v>55</v>
      </c>
    </row>
    <row r="17" spans="1:7" x14ac:dyDescent="0.3">
      <c r="A17" s="4">
        <v>12</v>
      </c>
      <c r="B17" s="4" t="s">
        <v>56</v>
      </c>
      <c r="C17" s="6" t="s">
        <v>57</v>
      </c>
      <c r="D17" s="7">
        <f>QS_DIEN_GIAI_CHI_TIET!J41</f>
        <v>8</v>
      </c>
      <c r="E17" s="4" t="s">
        <v>58</v>
      </c>
      <c r="F17" s="4" t="s">
        <v>59</v>
      </c>
      <c r="G17" s="6" t="s">
        <v>60</v>
      </c>
    </row>
    <row r="18" spans="1:7" x14ac:dyDescent="0.3">
      <c r="A18" s="4">
        <v>13</v>
      </c>
      <c r="B18" s="4" t="s">
        <v>61</v>
      </c>
      <c r="C18" s="6" t="s">
        <v>62</v>
      </c>
      <c r="D18" s="7">
        <f>QS_DIEN_GIAI_CHI_TIET!J35</f>
        <v>20.475000000000001</v>
      </c>
      <c r="E18" s="4" t="s">
        <v>26</v>
      </c>
      <c r="F18" s="4" t="s">
        <v>45</v>
      </c>
      <c r="G18" s="6" t="s">
        <v>63</v>
      </c>
    </row>
    <row r="19" spans="1:7" x14ac:dyDescent="0.3">
      <c r="A19" s="4">
        <v>14</v>
      </c>
      <c r="B19" s="4" t="s">
        <v>64</v>
      </c>
      <c r="C19" s="6" t="s">
        <v>65</v>
      </c>
      <c r="D19" s="7">
        <f>QS_DIEN_GIAI_CHI_TIET!J38</f>
        <v>22.08</v>
      </c>
      <c r="E19" s="4" t="s">
        <v>26</v>
      </c>
      <c r="F19" s="4" t="s">
        <v>37</v>
      </c>
      <c r="G19" s="6" t="s">
        <v>66</v>
      </c>
    </row>
    <row r="20" spans="1:7" x14ac:dyDescent="0.3">
      <c r="A20" s="4">
        <v>15</v>
      </c>
      <c r="B20" s="4" t="s">
        <v>67</v>
      </c>
      <c r="C20" s="6" t="s">
        <v>68</v>
      </c>
      <c r="D20" s="7">
        <f>QS_DIEN_GIAI_CHI_TIET!J43</f>
        <v>30</v>
      </c>
      <c r="E20" s="4" t="s">
        <v>69</v>
      </c>
      <c r="F20" s="4" t="s">
        <v>70</v>
      </c>
      <c r="G20" s="6" t="s">
        <v>71</v>
      </c>
    </row>
    <row r="21" spans="1:7" x14ac:dyDescent="0.3">
      <c r="A21" s="4">
        <v>16</v>
      </c>
      <c r="B21" s="4" t="s">
        <v>72</v>
      </c>
      <c r="C21" s="6" t="s">
        <v>73</v>
      </c>
      <c r="D21" s="7">
        <f>QS_DIEN_GIAI_CHI_TIET!J48</f>
        <v>86.5</v>
      </c>
      <c r="E21" s="4" t="s">
        <v>26</v>
      </c>
      <c r="F21" s="4" t="s">
        <v>37</v>
      </c>
      <c r="G21" s="6" t="s">
        <v>74</v>
      </c>
    </row>
    <row r="22" spans="1:7" x14ac:dyDescent="0.3">
      <c r="A22" s="4">
        <v>17</v>
      </c>
      <c r="B22" s="4" t="s">
        <v>75</v>
      </c>
      <c r="C22" s="6" t="s">
        <v>76</v>
      </c>
      <c r="D22" s="7">
        <f>QS_DIEN_GIAI_CHI_TIET!J45</f>
        <v>3753.75</v>
      </c>
      <c r="E22" s="4" t="s">
        <v>26</v>
      </c>
      <c r="F22" s="4" t="s">
        <v>27</v>
      </c>
      <c r="G22" s="6" t="s">
        <v>77</v>
      </c>
    </row>
    <row r="23" spans="1:7" x14ac:dyDescent="0.3">
      <c r="A23" s="4">
        <v>18</v>
      </c>
      <c r="B23" s="4" t="s">
        <v>78</v>
      </c>
      <c r="C23" s="6" t="s">
        <v>79</v>
      </c>
      <c r="D23" s="9">
        <v>1</v>
      </c>
      <c r="E23" s="4" t="s">
        <v>80</v>
      </c>
      <c r="F23" s="4" t="s">
        <v>81</v>
      </c>
      <c r="G23" s="6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K39"/>
  <sheetViews>
    <sheetView zoomScale="70" zoomScaleNormal="70" workbookViewId="0">
      <selection activeCell="L22" sqref="L22"/>
    </sheetView>
  </sheetViews>
  <sheetFormatPr defaultRowHeight="14" x14ac:dyDescent="0.3"/>
  <cols>
    <col min="1" max="1" width="4.25" bestFit="1" customWidth="1"/>
    <col min="2" max="2" width="7.58203125" bestFit="1" customWidth="1"/>
    <col min="3" max="3" width="58.75" bestFit="1" customWidth="1"/>
    <col min="4" max="4" width="10.08203125" bestFit="1" customWidth="1"/>
    <col min="5" max="5" width="5.6640625" bestFit="1" customWidth="1"/>
    <col min="6" max="6" width="11.5" bestFit="1" customWidth="1"/>
    <col min="7" max="7" width="15.6640625" bestFit="1" customWidth="1"/>
    <col min="8" max="8" width="12.08203125" bestFit="1" customWidth="1"/>
    <col min="9" max="9" width="62.9140625" bestFit="1" customWidth="1"/>
    <col min="10" max="10" width="9.9140625" bestFit="1" customWidth="1"/>
    <col min="11" max="11" width="7.9140625" bestFit="1" customWidth="1"/>
  </cols>
  <sheetData>
    <row r="1" spans="1:11" ht="18.5" thickBot="1" x14ac:dyDescent="0.45">
      <c r="A1" s="58" t="s">
        <v>508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5" thickTop="1" x14ac:dyDescent="0.35">
      <c r="A2" s="54" t="s">
        <v>515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4" spans="1:11" x14ac:dyDescent="0.3">
      <c r="A4" s="59" t="s">
        <v>2</v>
      </c>
      <c r="B4" s="59" t="s">
        <v>264</v>
      </c>
      <c r="C4" s="59" t="s">
        <v>509</v>
      </c>
      <c r="D4" s="59" t="s">
        <v>266</v>
      </c>
      <c r="E4" s="59" t="s">
        <v>6</v>
      </c>
      <c r="F4" s="59" t="s">
        <v>516</v>
      </c>
      <c r="G4" s="59" t="s">
        <v>510</v>
      </c>
      <c r="H4" s="59" t="s">
        <v>511</v>
      </c>
      <c r="I4" s="59" t="s">
        <v>512</v>
      </c>
      <c r="J4" s="59" t="s">
        <v>513</v>
      </c>
      <c r="K4" s="59" t="s">
        <v>514</v>
      </c>
    </row>
    <row r="5" spans="1:11" x14ac:dyDescent="0.3">
      <c r="A5" t="str">
        <f>TIEN_DO_THI_CONG_WBS!A7</f>
        <v>1.0</v>
      </c>
      <c r="B5" t="str">
        <f>TIEN_DO_THI_CONG_WBS!A7</f>
        <v>1.0</v>
      </c>
      <c r="C5">
        <f>TIEN_DO_THI_CONG_WBS!B7</f>
        <v>0</v>
      </c>
      <c r="D5">
        <f>TIEN_DO_THI_CONG_WBS!C7</f>
        <v>0</v>
      </c>
      <c r="E5">
        <f>TIEN_DO_THI_CONG_WBS!D7</f>
        <v>0</v>
      </c>
      <c r="F5" s="56" t="str">
        <f>TIEN_DO_THI_CONG_WBS!I7</f>
        <v>01/10/2026</v>
      </c>
      <c r="G5" s="60">
        <f>H5-F5+1</f>
        <v>19</v>
      </c>
      <c r="H5" s="57" t="str">
        <f>TIEN_DO_THI_CONG_WBS!J7</f>
        <v>19/10/2026</v>
      </c>
      <c r="I5" t="str">
        <f>IF(C5="",B5&amp;" - Giai đoạn",B5&amp;" - "&amp;C5)</f>
        <v>1.0 - 0</v>
      </c>
      <c r="J5" s="60">
        <f>F5-$F$5</f>
        <v>0</v>
      </c>
      <c r="K5" s="60">
        <f>G5</f>
        <v>19</v>
      </c>
    </row>
    <row r="6" spans="1:11" x14ac:dyDescent="0.3">
      <c r="A6" t="str">
        <f>TIEN_DO_THI_CONG_WBS!A8</f>
        <v>1.1</v>
      </c>
      <c r="B6" t="str">
        <f>TIEN_DO_THI_CONG_WBS!A8</f>
        <v>1.1</v>
      </c>
      <c r="C6" t="str">
        <f>TIEN_DO_THI_CONG_WBS!B8</f>
        <v>Bàn giao tim mốc, cọc cao độ mốc tọa độ VN2000</v>
      </c>
      <c r="D6">
        <f>TIEN_DO_THI_CONG_WBS!C8</f>
        <v>1</v>
      </c>
      <c r="E6" t="str">
        <f>TIEN_DO_THI_CONG_WBS!D8</f>
        <v>Điểm</v>
      </c>
      <c r="F6" s="56" t="str">
        <f>TIEN_DO_THI_CONG_WBS!I8</f>
        <v>2026-10-01</v>
      </c>
      <c r="G6" s="60">
        <f t="shared" ref="G6:G39" si="0">H6-F6+1</f>
        <v>2</v>
      </c>
      <c r="H6" s="57" t="str">
        <f>TIEN_DO_THI_CONG_WBS!J8</f>
        <v>2026-10-02</v>
      </c>
      <c r="I6" t="str">
        <f t="shared" ref="I6:I39" si="1">IF(C6="",B6&amp;" - Giai đoạn",B6&amp;" - "&amp;C6)</f>
        <v>1.1 - Bàn giao tim mốc, cọc cao độ mốc tọa độ VN2000</v>
      </c>
      <c r="J6" s="60">
        <f t="shared" ref="J6:J39" si="2">F6-$F$5</f>
        <v>0</v>
      </c>
      <c r="K6" s="60">
        <f t="shared" ref="K6:K39" si="3">G6</f>
        <v>2</v>
      </c>
    </row>
    <row r="7" spans="1:11" x14ac:dyDescent="0.3">
      <c r="A7" t="str">
        <f>TIEN_DO_THI_CONG_WBS!A9</f>
        <v>1.2</v>
      </c>
      <c r="B7" t="str">
        <f>TIEN_DO_THI_CONG_WBS!A9</f>
        <v>1.2</v>
      </c>
      <c r="C7" t="str">
        <f>TIEN_DO_THI_CONG_WBS!B9</f>
        <v>Rà phá bom mìn, dọn dẹp mặt bằng thi công &amp; lán trại</v>
      </c>
      <c r="D7">
        <f>TIEN_DO_THI_CONG_WBS!C9</f>
        <v>1040</v>
      </c>
      <c r="E7" t="str">
        <f>TIEN_DO_THI_CONG_WBS!D9</f>
        <v>m2</v>
      </c>
      <c r="F7" s="56" t="str">
        <f>TIEN_DO_THI_CONG_WBS!I9</f>
        <v>2026-10-03</v>
      </c>
      <c r="G7" s="60">
        <f t="shared" si="0"/>
        <v>5</v>
      </c>
      <c r="H7" s="57" t="str">
        <f>TIEN_DO_THI_CONG_WBS!J9</f>
        <v>2026-10-07</v>
      </c>
      <c r="I7" t="str">
        <f t="shared" si="1"/>
        <v>1.2 - Rà phá bom mìn, dọn dẹp mặt bằng thi công &amp; lán trại</v>
      </c>
      <c r="J7" s="60">
        <f t="shared" si="2"/>
        <v>2</v>
      </c>
      <c r="K7" s="60">
        <f t="shared" si="3"/>
        <v>5</v>
      </c>
    </row>
    <row r="8" spans="1:11" x14ac:dyDescent="0.3">
      <c r="A8" t="str">
        <f>TIEN_DO_THI_CONG_WBS!A10</f>
        <v>1.3</v>
      </c>
      <c r="B8" t="str">
        <f>TIEN_DO_THI_CONG_WBS!A10</f>
        <v>1.3</v>
      </c>
      <c r="C8" t="str">
        <f>TIEN_DO_THI_CONG_WBS!B10</f>
        <v>Thi công đường công vụ vượt suối, bãi đúc dầm &amp; bãi tập kết</v>
      </c>
      <c r="D8">
        <f>TIEN_DO_THI_CONG_WBS!C10</f>
        <v>1</v>
      </c>
      <c r="E8" t="str">
        <f>TIEN_DO_THI_CONG_WBS!D10</f>
        <v>Hệ</v>
      </c>
      <c r="F8" s="56" t="str">
        <f>TIEN_DO_THI_CONG_WBS!I10</f>
        <v>2026-10-08</v>
      </c>
      <c r="G8" s="60">
        <f t="shared" si="0"/>
        <v>12</v>
      </c>
      <c r="H8" s="57" t="str">
        <f>TIEN_DO_THI_CONG_WBS!J10</f>
        <v>2026-10-19</v>
      </c>
      <c r="I8" t="str">
        <f t="shared" si="1"/>
        <v>1.3 - Thi công đường công vụ vượt suối, bãi đúc dầm &amp; bãi tập kết</v>
      </c>
      <c r="J8" s="60">
        <f t="shared" si="2"/>
        <v>7</v>
      </c>
      <c r="K8" s="60">
        <f t="shared" si="3"/>
        <v>12</v>
      </c>
    </row>
    <row r="9" spans="1:11" x14ac:dyDescent="0.3">
      <c r="A9" t="str">
        <f>TIEN_DO_THI_CONG_WBS!A11</f>
        <v>2.0</v>
      </c>
      <c r="B9" t="str">
        <f>TIEN_DO_THI_CONG_WBS!A11</f>
        <v>2.0</v>
      </c>
      <c r="C9">
        <f>TIEN_DO_THI_CONG_WBS!B11</f>
        <v>0</v>
      </c>
      <c r="D9">
        <f>TIEN_DO_THI_CONG_WBS!C11</f>
        <v>0</v>
      </c>
      <c r="E9">
        <f>TIEN_DO_THI_CONG_WBS!D11</f>
        <v>0</v>
      </c>
      <c r="F9" s="56" t="str">
        <f>TIEN_DO_THI_CONG_WBS!I11</f>
        <v>20/10/2026</v>
      </c>
      <c r="G9" s="60">
        <f t="shared" si="0"/>
        <v>76</v>
      </c>
      <c r="H9" s="57" t="str">
        <f>TIEN_DO_THI_CONG_WBS!J11</f>
        <v>03/01/2027</v>
      </c>
      <c r="I9" t="str">
        <f t="shared" si="1"/>
        <v>2.0 - 0</v>
      </c>
      <c r="J9" s="60">
        <f t="shared" si="2"/>
        <v>19</v>
      </c>
      <c r="K9" s="60">
        <f t="shared" si="3"/>
        <v>76</v>
      </c>
    </row>
    <row r="10" spans="1:11" x14ac:dyDescent="0.3">
      <c r="A10" t="str">
        <f>TIEN_DO_THI_CONG_WBS!A12</f>
        <v>2.1</v>
      </c>
      <c r="B10" t="str">
        <f>TIEN_DO_THI_CONG_WBS!A12</f>
        <v>2.1</v>
      </c>
      <c r="C10" t="str">
        <f>TIEN_DO_THI_CONG_WBS!B12</f>
        <v>Đào hố móng bệ mố M1, M2 ngàm vào nền đá gốc</v>
      </c>
      <c r="D10">
        <f>TIEN_DO_THI_CONG_WBS!C12</f>
        <v>76.25</v>
      </c>
      <c r="E10" t="str">
        <f>TIEN_DO_THI_CONG_WBS!D12</f>
        <v>m3</v>
      </c>
      <c r="F10" s="56" t="str">
        <f>TIEN_DO_THI_CONG_WBS!I12</f>
        <v>2026-10-20</v>
      </c>
      <c r="G10" s="60">
        <f t="shared" si="0"/>
        <v>8</v>
      </c>
      <c r="H10" s="57" t="str">
        <f>TIEN_DO_THI_CONG_WBS!J12</f>
        <v>2026-10-27</v>
      </c>
      <c r="I10" t="str">
        <f t="shared" si="1"/>
        <v>2.1 - Đào hố móng bệ mố M1, M2 ngàm vào nền đá gốc</v>
      </c>
      <c r="J10" s="60">
        <f t="shared" si="2"/>
        <v>19</v>
      </c>
      <c r="K10" s="60">
        <f t="shared" si="3"/>
        <v>8</v>
      </c>
    </row>
    <row r="11" spans="1:11" x14ac:dyDescent="0.3">
      <c r="A11" t="str">
        <f>TIEN_DO_THI_CONG_WBS!A13</f>
        <v>2.2</v>
      </c>
      <c r="B11" t="str">
        <f>TIEN_DO_THI_CONG_WBS!A13</f>
        <v>2.2</v>
      </c>
      <c r="C11" t="str">
        <f>TIEN_DO_THI_CONG_WBS!B13</f>
        <v>Khoan lỗ và cắm 98 thanh thép neo D32 L=1.0m</v>
      </c>
      <c r="D11">
        <f>TIEN_DO_THI_CONG_WBS!C13</f>
        <v>98</v>
      </c>
      <c r="E11" t="str">
        <f>TIEN_DO_THI_CONG_WBS!D13</f>
        <v>Thanh</v>
      </c>
      <c r="F11" s="56" t="str">
        <f>TIEN_DO_THI_CONG_WBS!I13</f>
        <v>2026-10-28</v>
      </c>
      <c r="G11" s="60">
        <f t="shared" si="0"/>
        <v>5</v>
      </c>
      <c r="H11" s="57" t="str">
        <f>TIEN_DO_THI_CONG_WBS!J13</f>
        <v>2026-11-01</v>
      </c>
      <c r="I11" t="str">
        <f t="shared" si="1"/>
        <v>2.2 - Khoan lỗ và cắm 98 thanh thép neo D32 L=1.0m</v>
      </c>
      <c r="J11" s="60">
        <f t="shared" si="2"/>
        <v>27</v>
      </c>
      <c r="K11" s="60">
        <f t="shared" si="3"/>
        <v>5</v>
      </c>
    </row>
    <row r="12" spans="1:11" x14ac:dyDescent="0.3">
      <c r="A12" t="str">
        <f>TIEN_DO_THI_CONG_WBS!A14</f>
        <v>2.3</v>
      </c>
      <c r="B12" t="str">
        <f>TIEN_DO_THI_CONG_WBS!A14</f>
        <v>2.3</v>
      </c>
      <c r="C12" t="str">
        <f>TIEN_DO_THI_CONG_WBS!B14</f>
        <v>Rải đá dăm đệm và đổ bê tông lót đáy bệ móng mố</v>
      </c>
      <c r="D12">
        <f>TIEN_DO_THI_CONG_WBS!C14</f>
        <v>7.5</v>
      </c>
      <c r="E12" t="str">
        <f>TIEN_DO_THI_CONG_WBS!D14</f>
        <v>m3</v>
      </c>
      <c r="F12" s="56" t="str">
        <f>TIEN_DO_THI_CONG_WBS!I14</f>
        <v>2026-11-02</v>
      </c>
      <c r="G12" s="60">
        <f t="shared" si="0"/>
        <v>2</v>
      </c>
      <c r="H12" s="57" t="str">
        <f>TIEN_DO_THI_CONG_WBS!J14</f>
        <v>2026-11-03</v>
      </c>
      <c r="I12" t="str">
        <f t="shared" si="1"/>
        <v>2.3 - Rải đá dăm đệm và đổ bê tông lót đáy bệ móng mố</v>
      </c>
      <c r="J12" s="60">
        <f t="shared" si="2"/>
        <v>32</v>
      </c>
      <c r="K12" s="60">
        <f t="shared" si="3"/>
        <v>2</v>
      </c>
    </row>
    <row r="13" spans="1:11" x14ac:dyDescent="0.3">
      <c r="A13" t="str">
        <f>TIEN_DO_THI_CONG_WBS!A15</f>
        <v>2.4</v>
      </c>
      <c r="B13" t="str">
        <f>TIEN_DO_THI_CONG_WBS!A15</f>
        <v>2.4</v>
      </c>
      <c r="C13" t="str">
        <f>TIEN_DO_THI_CONG_WBS!B15</f>
        <v>Gia công lắp dựng cốt thép bệ móng mố M1, M2 (D16, D22, D25)</v>
      </c>
      <c r="D13">
        <f>TIEN_DO_THI_CONG_WBS!C15</f>
        <v>7.15</v>
      </c>
      <c r="E13" t="str">
        <f>TIEN_DO_THI_CONG_WBS!D15</f>
        <v>Tấn</v>
      </c>
      <c r="F13" s="56" t="str">
        <f>TIEN_DO_THI_CONG_WBS!I15</f>
        <v>2026-11-04</v>
      </c>
      <c r="G13" s="60">
        <f t="shared" si="0"/>
        <v>5</v>
      </c>
      <c r="H13" s="57" t="str">
        <f>TIEN_DO_THI_CONG_WBS!J15</f>
        <v>2026-11-08</v>
      </c>
      <c r="I13" t="str">
        <f t="shared" si="1"/>
        <v>2.4 - Gia công lắp dựng cốt thép bệ móng mố M1, M2 (D16, D22, D25)</v>
      </c>
      <c r="J13" s="60">
        <f t="shared" si="2"/>
        <v>34</v>
      </c>
      <c r="K13" s="60">
        <f t="shared" si="3"/>
        <v>5</v>
      </c>
    </row>
    <row r="14" spans="1:11" x14ac:dyDescent="0.3">
      <c r="A14" t="str">
        <f>TIEN_DO_THI_CONG_WBS!A16</f>
        <v>2.5</v>
      </c>
      <c r="B14" t="str">
        <f>TIEN_DO_THI_CONG_WBS!A16</f>
        <v>2.5</v>
      </c>
      <c r="C14" t="str">
        <f>TIEN_DO_THI_CONG_WBS!B16</f>
        <v>Lắp dựng ván khuôn bệ móng mố M1, M2</v>
      </c>
      <c r="D14">
        <f>TIEN_DO_THI_CONG_WBS!C16</f>
        <v>185</v>
      </c>
      <c r="E14" t="str">
        <f>TIEN_DO_THI_CONG_WBS!D16</f>
        <v>m2</v>
      </c>
      <c r="F14" s="56" t="str">
        <f>TIEN_DO_THI_CONG_WBS!I16</f>
        <v>2026-11-09</v>
      </c>
      <c r="G14" s="60">
        <f t="shared" si="0"/>
        <v>7</v>
      </c>
      <c r="H14" s="57" t="str">
        <f>TIEN_DO_THI_CONG_WBS!J16</f>
        <v>2026-11-15</v>
      </c>
      <c r="I14" t="str">
        <f t="shared" si="1"/>
        <v>2.5 - Lắp dựng ván khuôn bệ móng mố M1, M2</v>
      </c>
      <c r="J14" s="60">
        <f t="shared" si="2"/>
        <v>39</v>
      </c>
      <c r="K14" s="60">
        <f t="shared" si="3"/>
        <v>7</v>
      </c>
    </row>
    <row r="15" spans="1:11" x14ac:dyDescent="0.3">
      <c r="A15" t="str">
        <f>TIEN_DO_THI_CONG_WBS!A17</f>
        <v>2.6</v>
      </c>
      <c r="B15" t="str">
        <f>TIEN_DO_THI_CONG_WBS!A17</f>
        <v>2.6</v>
      </c>
      <c r="C15" t="str">
        <f>TIEN_DO_THI_CONG_WBS!B17</f>
        <v>Đổ bê tông bệ móng mố M1, M2 (30 MPa kết hợp đầm dùi)</v>
      </c>
      <c r="D15">
        <f>TIEN_DO_THI_CONG_WBS!C17</f>
        <v>31.46</v>
      </c>
      <c r="E15" t="str">
        <f>TIEN_DO_THI_CONG_WBS!D17</f>
        <v>m3</v>
      </c>
      <c r="F15" s="56" t="str">
        <f>TIEN_DO_THI_CONG_WBS!I17</f>
        <v>2026-11-16</v>
      </c>
      <c r="G15" s="60">
        <f t="shared" si="0"/>
        <v>7</v>
      </c>
      <c r="H15" s="57" t="str">
        <f>TIEN_DO_THI_CONG_WBS!J17</f>
        <v>2026-11-22</v>
      </c>
      <c r="I15" t="str">
        <f t="shared" si="1"/>
        <v>2.6 - Đổ bê tông bệ móng mố M1, M2 (30 MPa kết hợp đầm dùi)</v>
      </c>
      <c r="J15" s="60">
        <f t="shared" si="2"/>
        <v>46</v>
      </c>
      <c r="K15" s="60">
        <f t="shared" si="3"/>
        <v>7</v>
      </c>
    </row>
    <row r="16" spans="1:11" x14ac:dyDescent="0.3">
      <c r="A16" t="str">
        <f>TIEN_DO_THI_CONG_WBS!A18</f>
        <v>2.7</v>
      </c>
      <c r="B16" t="str">
        <f>TIEN_DO_THI_CONG_WBS!A18</f>
        <v>2.7</v>
      </c>
      <c r="C16" t="str">
        <f>TIEN_DO_THI_CONG_WBS!B18</f>
        <v>Bảo dưỡng bê tông bệ móng mố (chờ đạt cường độ R7)</v>
      </c>
      <c r="D16">
        <f>TIEN_DO_THI_CONG_WBS!C18</f>
        <v>1</v>
      </c>
      <c r="E16" t="str">
        <f>TIEN_DO_THI_CONG_WBS!D18</f>
        <v>Đợt</v>
      </c>
      <c r="F16" s="56" t="str">
        <f>TIEN_DO_THI_CONG_WBS!I18</f>
        <v>2026-11-23</v>
      </c>
      <c r="G16" s="60">
        <f t="shared" si="0"/>
        <v>7</v>
      </c>
      <c r="H16" s="57" t="str">
        <f>TIEN_DO_THI_CONG_WBS!J18</f>
        <v>2026-11-29</v>
      </c>
      <c r="I16" t="str">
        <f t="shared" si="1"/>
        <v>2.7 - Bảo dưỡng bê tông bệ móng mố (chờ đạt cường độ R7)</v>
      </c>
      <c r="J16" s="60">
        <f t="shared" si="2"/>
        <v>53</v>
      </c>
      <c r="K16" s="60">
        <f t="shared" si="3"/>
        <v>7</v>
      </c>
    </row>
    <row r="17" spans="1:11" x14ac:dyDescent="0.3">
      <c r="A17" t="str">
        <f>TIEN_DO_THI_CONG_WBS!A19</f>
        <v>2.8</v>
      </c>
      <c r="B17" t="str">
        <f>TIEN_DO_THI_CONG_WBS!A19</f>
        <v>2.8</v>
      </c>
      <c r="C17" t="str">
        <f>TIEN_DO_THI_CONG_WBS!B19</f>
        <v>Gia công lắp dựng cốt thép thân mố, tường cánh, tường đỉnh M1, M2</v>
      </c>
      <c r="D17">
        <f>TIEN_DO_THI_CONG_WBS!C19</f>
        <v>28.799999999999997</v>
      </c>
      <c r="E17" t="str">
        <f>TIEN_DO_THI_CONG_WBS!D19</f>
        <v>Tấn</v>
      </c>
      <c r="F17" s="56" t="str">
        <f>TIEN_DO_THI_CONG_WBS!I19</f>
        <v>2026-11-30</v>
      </c>
      <c r="G17" s="60">
        <f t="shared" si="0"/>
        <v>5</v>
      </c>
      <c r="H17" s="57" t="str">
        <f>TIEN_DO_THI_CONG_WBS!J19</f>
        <v>2026-12-04</v>
      </c>
      <c r="I17" t="str">
        <f t="shared" si="1"/>
        <v>2.8 - Gia công lắp dựng cốt thép thân mố, tường cánh, tường đỉnh M1, M2</v>
      </c>
      <c r="J17" s="60">
        <f t="shared" si="2"/>
        <v>60</v>
      </c>
      <c r="K17" s="60">
        <f t="shared" si="3"/>
        <v>5</v>
      </c>
    </row>
    <row r="18" spans="1:11" x14ac:dyDescent="0.3">
      <c r="A18" t="str">
        <f>TIEN_DO_THI_CONG_WBS!A20</f>
        <v>2.9</v>
      </c>
      <c r="B18" t="str">
        <f>TIEN_DO_THI_CONG_WBS!A20</f>
        <v>2.9</v>
      </c>
      <c r="C18" t="str">
        <f>TIEN_DO_THI_CONG_WBS!B20</f>
        <v>Lắp dựng ván khuôn thân mố, tường cánh và xà mũ mố</v>
      </c>
      <c r="D18">
        <f>TIEN_DO_THI_CONG_WBS!C20</f>
        <v>260</v>
      </c>
      <c r="E18" t="str">
        <f>TIEN_DO_THI_CONG_WBS!D20</f>
        <v>m2</v>
      </c>
      <c r="F18" s="56" t="str">
        <f>TIEN_DO_THI_CONG_WBS!I20</f>
        <v>2026-12-05</v>
      </c>
      <c r="G18" s="60">
        <f t="shared" si="0"/>
        <v>9</v>
      </c>
      <c r="H18" s="57" t="str">
        <f>TIEN_DO_THI_CONG_WBS!J20</f>
        <v>2026-12-13</v>
      </c>
      <c r="I18" t="str">
        <f t="shared" si="1"/>
        <v>2.9 - Lắp dựng ván khuôn thân mố, tường cánh và xà mũ mố</v>
      </c>
      <c r="J18" s="60">
        <f t="shared" si="2"/>
        <v>65</v>
      </c>
      <c r="K18" s="60">
        <f t="shared" si="3"/>
        <v>9</v>
      </c>
    </row>
    <row r="19" spans="1:11" x14ac:dyDescent="0.3">
      <c r="A19" t="str">
        <f>TIEN_DO_THI_CONG_WBS!A21</f>
        <v>2.10</v>
      </c>
      <c r="B19" t="str">
        <f>TIEN_DO_THI_CONG_WBS!A21</f>
        <v>2.10</v>
      </c>
      <c r="C19" t="str">
        <f>TIEN_DO_THI_CONG_WBS!B21</f>
        <v>Đổ bê tông thân mố, tường cánh, tường đỉnh M1, M2 (30 MPa)</v>
      </c>
      <c r="D19">
        <f>TIEN_DO_THI_CONG_WBS!C21</f>
        <v>3.3119999999999998</v>
      </c>
      <c r="E19" t="str">
        <f>TIEN_DO_THI_CONG_WBS!D21</f>
        <v>m3</v>
      </c>
      <c r="F19" s="56" t="str">
        <f>TIEN_DO_THI_CONG_WBS!I21</f>
        <v>2026-12-14</v>
      </c>
      <c r="G19" s="60">
        <f t="shared" si="0"/>
        <v>3</v>
      </c>
      <c r="H19" s="57" t="str">
        <f>TIEN_DO_THI_CONG_WBS!J21</f>
        <v>2026-12-16</v>
      </c>
      <c r="I19" t="str">
        <f t="shared" si="1"/>
        <v>2.10 - Đổ bê tông thân mố, tường cánh, tường đỉnh M1, M2 (30 MPa)</v>
      </c>
      <c r="J19" s="60">
        <f t="shared" si="2"/>
        <v>74</v>
      </c>
      <c r="K19" s="60">
        <f t="shared" si="3"/>
        <v>3</v>
      </c>
    </row>
    <row r="20" spans="1:11" x14ac:dyDescent="0.3">
      <c r="A20" t="str">
        <f>TIEN_DO_THI_CONG_WBS!A22</f>
        <v>2.11</v>
      </c>
      <c r="B20" t="str">
        <f>TIEN_DO_THI_CONG_WBS!A22</f>
        <v>2.11</v>
      </c>
      <c r="C20" t="str">
        <f>TIEN_DO_THI_CONG_WBS!B22</f>
        <v>Đổ bê tông đá kê gối &amp; lắp đặt 8 gối cao su bản thép</v>
      </c>
      <c r="D20">
        <f>TIEN_DO_THI_CONG_WBS!C22</f>
        <v>8</v>
      </c>
      <c r="E20" t="str">
        <f>TIEN_DO_THI_CONG_WBS!D22</f>
        <v>Bộ</v>
      </c>
      <c r="F20" s="56" t="str">
        <f>TIEN_DO_THI_CONG_WBS!I22</f>
        <v>2026-12-17</v>
      </c>
      <c r="G20" s="60">
        <f t="shared" si="0"/>
        <v>4</v>
      </c>
      <c r="H20" s="57" t="str">
        <f>TIEN_DO_THI_CONG_WBS!J22</f>
        <v>2026-12-20</v>
      </c>
      <c r="I20" t="str">
        <f t="shared" si="1"/>
        <v>2.11 - Đổ bê tông đá kê gối &amp; lắp đặt 8 gối cao su bản thép</v>
      </c>
      <c r="J20" s="60">
        <f t="shared" si="2"/>
        <v>77</v>
      </c>
      <c r="K20" s="60">
        <f t="shared" si="3"/>
        <v>4</v>
      </c>
    </row>
    <row r="21" spans="1:11" x14ac:dyDescent="0.3">
      <c r="A21" t="str">
        <f>TIEN_DO_THI_CONG_WBS!A23</f>
        <v>2.12</v>
      </c>
      <c r="B21" t="str">
        <f>TIEN_DO_THI_CONG_WBS!A23</f>
        <v>2.12</v>
      </c>
      <c r="C21" t="str">
        <f>TIEN_DO_THI_CONG_WBS!B23</f>
        <v>Đắp đất chọn lọc lòng mố (K98) &amp; quét nhựa đường chống thấm</v>
      </c>
      <c r="D21">
        <f>TIEN_DO_THI_CONG_WBS!C23</f>
        <v>196</v>
      </c>
      <c r="E21" t="str">
        <f>TIEN_DO_THI_CONG_WBS!D23</f>
        <v>m3</v>
      </c>
      <c r="F21" s="56" t="str">
        <f>TIEN_DO_THI_CONG_WBS!I23</f>
        <v>2026-12-21</v>
      </c>
      <c r="G21" s="60">
        <f t="shared" si="0"/>
        <v>14</v>
      </c>
      <c r="H21" s="57" t="str">
        <f>TIEN_DO_THI_CONG_WBS!J23</f>
        <v>2027-01-03</v>
      </c>
      <c r="I21" t="str">
        <f t="shared" si="1"/>
        <v>2.12 - Đắp đất chọn lọc lòng mố (K98) &amp; quét nhựa đường chống thấm</v>
      </c>
      <c r="J21" s="60">
        <f t="shared" si="2"/>
        <v>81</v>
      </c>
      <c r="K21" s="60">
        <f t="shared" si="3"/>
        <v>14</v>
      </c>
    </row>
    <row r="22" spans="1:11" x14ac:dyDescent="0.3">
      <c r="A22" t="str">
        <f>TIEN_DO_THI_CONG_WBS!A24</f>
        <v>3.0</v>
      </c>
      <c r="B22" t="str">
        <f>TIEN_DO_THI_CONG_WBS!A24</f>
        <v>3.0</v>
      </c>
      <c r="C22">
        <f>TIEN_DO_THI_CONG_WBS!B24</f>
        <v>0</v>
      </c>
      <c r="D22">
        <f>TIEN_DO_THI_CONG_WBS!C24</f>
        <v>0</v>
      </c>
      <c r="E22">
        <f>TIEN_DO_THI_CONG_WBS!D24</f>
        <v>0</v>
      </c>
      <c r="F22" s="56" t="str">
        <f>TIEN_DO_THI_CONG_WBS!I24</f>
        <v>20/11/2026</v>
      </c>
      <c r="G22" s="60">
        <f t="shared" si="0"/>
        <v>79</v>
      </c>
      <c r="H22" s="57" t="str">
        <f>TIEN_DO_THI_CONG_WBS!J24</f>
        <v>06/02/2027</v>
      </c>
      <c r="I22" t="str">
        <f t="shared" si="1"/>
        <v>3.0 - 0</v>
      </c>
      <c r="J22" s="60">
        <f t="shared" si="2"/>
        <v>50</v>
      </c>
      <c r="K22" s="60">
        <f t="shared" si="3"/>
        <v>79</v>
      </c>
    </row>
    <row r="23" spans="1:11" x14ac:dyDescent="0.3">
      <c r="A23" t="str">
        <f>TIEN_DO_THI_CONG_WBS!A25</f>
        <v>3.1</v>
      </c>
      <c r="B23" t="str">
        <f>TIEN_DO_THI_CONG_WBS!A25</f>
        <v>3.1</v>
      </c>
      <c r="C23" t="str">
        <f>TIEN_DO_THI_CONG_WBS!B25</f>
        <v>Gia công lắp dựng cốt thép 4 phiến dầm T L=15m tại bãi đúc</v>
      </c>
      <c r="D23">
        <f>TIEN_DO_THI_CONG_WBS!C25</f>
        <v>7.6960000000000015</v>
      </c>
      <c r="E23" t="str">
        <f>TIEN_DO_THI_CONG_WBS!D25</f>
        <v>Tấn</v>
      </c>
      <c r="F23" s="56" t="str">
        <f>TIEN_DO_THI_CONG_WBS!I25</f>
        <v>2026-11-20</v>
      </c>
      <c r="G23" s="60">
        <f t="shared" si="0"/>
        <v>33</v>
      </c>
      <c r="H23" s="57" t="str">
        <f>TIEN_DO_THI_CONG_WBS!J25</f>
        <v>2026-12-22</v>
      </c>
      <c r="I23" t="str">
        <f t="shared" si="1"/>
        <v>3.1 - Gia công lắp dựng cốt thép 4 phiến dầm T L=15m tại bãi đúc</v>
      </c>
      <c r="J23" s="60">
        <f t="shared" si="2"/>
        <v>50</v>
      </c>
      <c r="K23" s="60">
        <f t="shared" si="3"/>
        <v>33</v>
      </c>
    </row>
    <row r="24" spans="1:11" x14ac:dyDescent="0.3">
      <c r="A24" t="str">
        <f>TIEN_DO_THI_CONG_WBS!A26</f>
        <v>3.2</v>
      </c>
      <c r="B24" t="str">
        <f>TIEN_DO_THI_CONG_WBS!A26</f>
        <v>3.2</v>
      </c>
      <c r="C24" t="str">
        <f>TIEN_DO_THI_CONG_WBS!B26</f>
        <v>Lắp dựng ván khuôn thép định hình dầm T 15m</v>
      </c>
      <c r="D24">
        <f>TIEN_DO_THI_CONG_WBS!C26</f>
        <v>320</v>
      </c>
      <c r="E24" t="str">
        <f>TIEN_DO_THI_CONG_WBS!D26</f>
        <v>m2</v>
      </c>
      <c r="F24" s="56" t="str">
        <f>TIEN_DO_THI_CONG_WBS!I26</f>
        <v>2026-12-23</v>
      </c>
      <c r="G24" s="60">
        <f t="shared" si="0"/>
        <v>12</v>
      </c>
      <c r="H24" s="57" t="str">
        <f>TIEN_DO_THI_CONG_WBS!J26</f>
        <v>2027-01-03</v>
      </c>
      <c r="I24" t="str">
        <f t="shared" si="1"/>
        <v>3.2 - Lắp dựng ván khuôn thép định hình dầm T 15m</v>
      </c>
      <c r="J24" s="60">
        <f t="shared" si="2"/>
        <v>83</v>
      </c>
      <c r="K24" s="60">
        <f t="shared" si="3"/>
        <v>12</v>
      </c>
    </row>
    <row r="25" spans="1:11" x14ac:dyDescent="0.3">
      <c r="A25" t="str">
        <f>TIEN_DO_THI_CONG_WBS!A27</f>
        <v>3.3</v>
      </c>
      <c r="B25" t="str">
        <f>TIEN_DO_THI_CONG_WBS!A27</f>
        <v>3.3</v>
      </c>
      <c r="C25" t="str">
        <f>TIEN_DO_THI_CONG_WBS!B27</f>
        <v>Đổ bê tông 4 phiến dầm T 15m (Bê tông C40/C35 mác cao)</v>
      </c>
      <c r="D25">
        <f>TIEN_DO_THI_CONG_WBS!C27</f>
        <v>0</v>
      </c>
      <c r="E25" t="str">
        <f>TIEN_DO_THI_CONG_WBS!D27</f>
        <v>m3</v>
      </c>
      <c r="F25" s="56" t="str">
        <f>TIEN_DO_THI_CONG_WBS!I27</f>
        <v>2027-01-04</v>
      </c>
      <c r="G25" s="60">
        <f t="shared" si="0"/>
        <v>2</v>
      </c>
      <c r="H25" s="57" t="str">
        <f>TIEN_DO_THI_CONG_WBS!J27</f>
        <v>2027-01-05</v>
      </c>
      <c r="I25" t="str">
        <f t="shared" si="1"/>
        <v>3.3 - Đổ bê tông 4 phiến dầm T 15m (Bê tông C40/C35 mác cao)</v>
      </c>
      <c r="J25" s="60">
        <f t="shared" si="2"/>
        <v>95</v>
      </c>
      <c r="K25" s="60">
        <f t="shared" si="3"/>
        <v>2</v>
      </c>
    </row>
    <row r="26" spans="1:11" x14ac:dyDescent="0.3">
      <c r="A26" t="str">
        <f>TIEN_DO_THI_CONG_WBS!A28</f>
        <v>3.4</v>
      </c>
      <c r="B26" t="str">
        <f>TIEN_DO_THI_CONG_WBS!A28</f>
        <v>3.4</v>
      </c>
      <c r="C26" t="str">
        <f>TIEN_DO_THI_CONG_WBS!B28</f>
        <v>Dưỡng hộ bê tông dầm T đủ 28 ngày đạt cường độ thiết kế</v>
      </c>
      <c r="D26">
        <f>TIEN_DO_THI_CONG_WBS!C28</f>
        <v>1</v>
      </c>
      <c r="E26" t="str">
        <f>TIEN_DO_THI_CONG_WBS!D28</f>
        <v>Đợt</v>
      </c>
      <c r="F26" s="56" t="str">
        <f>TIEN_DO_THI_CONG_WBS!I28</f>
        <v>2027-01-06</v>
      </c>
      <c r="G26" s="60">
        <f t="shared" si="0"/>
        <v>28</v>
      </c>
      <c r="H26" s="57" t="str">
        <f>TIEN_DO_THI_CONG_WBS!J28</f>
        <v>2027-02-02</v>
      </c>
      <c r="I26" t="str">
        <f t="shared" si="1"/>
        <v>3.4 - Dưỡng hộ bê tông dầm T đủ 28 ngày đạt cường độ thiết kế</v>
      </c>
      <c r="J26" s="60">
        <f t="shared" si="2"/>
        <v>97</v>
      </c>
      <c r="K26" s="60">
        <f t="shared" si="3"/>
        <v>28</v>
      </c>
    </row>
    <row r="27" spans="1:11" x14ac:dyDescent="0.3">
      <c r="A27" t="str">
        <f>TIEN_DO_THI_CONG_WBS!A29</f>
        <v>3.5</v>
      </c>
      <c r="B27" t="str">
        <f>TIEN_DO_THI_CONG_WBS!A29</f>
        <v>3.5</v>
      </c>
      <c r="C27" t="str">
        <f>TIEN_DO_THI_CONG_WBS!B29</f>
        <v>Vận chuyển và cẩu lắp 4 phiến dầm T vào vị trí mố M1, M2</v>
      </c>
      <c r="D27">
        <f>TIEN_DO_THI_CONG_WBS!C29</f>
        <v>4</v>
      </c>
      <c r="E27" t="str">
        <f>TIEN_DO_THI_CONG_WBS!D29</f>
        <v>Phiến</v>
      </c>
      <c r="F27" s="56" t="str">
        <f>TIEN_DO_THI_CONG_WBS!I29</f>
        <v>2027-02-03</v>
      </c>
      <c r="G27" s="60">
        <f t="shared" si="0"/>
        <v>2</v>
      </c>
      <c r="H27" s="57" t="str">
        <f>TIEN_DO_THI_CONG_WBS!J29</f>
        <v>2027-02-04</v>
      </c>
      <c r="I27" t="str">
        <f t="shared" si="1"/>
        <v>3.5 - Vận chuyển và cẩu lắp 4 phiến dầm T vào vị trí mố M1, M2</v>
      </c>
      <c r="J27" s="60">
        <f t="shared" si="2"/>
        <v>125</v>
      </c>
      <c r="K27" s="60">
        <f t="shared" si="3"/>
        <v>2</v>
      </c>
    </row>
    <row r="28" spans="1:11" x14ac:dyDescent="0.3">
      <c r="A28" t="str">
        <f>TIEN_DO_THI_CONG_WBS!A30</f>
        <v>3.6</v>
      </c>
      <c r="B28" t="str">
        <f>TIEN_DO_THI_CONG_WBS!A30</f>
        <v>3.6</v>
      </c>
      <c r="C28" t="str">
        <f>TIEN_DO_THI_CONG_WBS!B30</f>
        <v>Lắp cốt thép, ván khuôn &amp; đổ bê tông dầm ngang, mối nối ướt</v>
      </c>
      <c r="D28">
        <f>TIEN_DO_THI_CONG_WBS!C30</f>
        <v>17.850000000000001</v>
      </c>
      <c r="E28" t="str">
        <f>TIEN_DO_THI_CONG_WBS!D30</f>
        <v>m3</v>
      </c>
      <c r="F28" s="56" t="str">
        <f>TIEN_DO_THI_CONG_WBS!I30</f>
        <v>2027-02-05</v>
      </c>
      <c r="G28" s="60">
        <f t="shared" si="0"/>
        <v>2</v>
      </c>
      <c r="H28" s="57" t="str">
        <f>TIEN_DO_THI_CONG_WBS!J30</f>
        <v>2027-02-06</v>
      </c>
      <c r="I28" t="str">
        <f t="shared" si="1"/>
        <v>3.6 - Lắp cốt thép, ván khuôn &amp; đổ bê tông dầm ngang, mối nối ướt</v>
      </c>
      <c r="J28" s="60">
        <f t="shared" si="2"/>
        <v>127</v>
      </c>
      <c r="K28" s="60">
        <f t="shared" si="3"/>
        <v>2</v>
      </c>
    </row>
    <row r="29" spans="1:11" x14ac:dyDescent="0.3">
      <c r="A29" t="str">
        <f>TIEN_DO_THI_CONG_WBS!A31</f>
        <v>4.0</v>
      </c>
      <c r="B29" t="str">
        <f>TIEN_DO_THI_CONG_WBS!A31</f>
        <v>4.0</v>
      </c>
      <c r="C29">
        <f>TIEN_DO_THI_CONG_WBS!B31</f>
        <v>0</v>
      </c>
      <c r="D29">
        <f>TIEN_DO_THI_CONG_WBS!C31</f>
        <v>0</v>
      </c>
      <c r="E29">
        <f>TIEN_DO_THI_CONG_WBS!D31</f>
        <v>0</v>
      </c>
      <c r="F29" s="56" t="str">
        <f>TIEN_DO_THI_CONG_WBS!I31</f>
        <v>07/02/2027</v>
      </c>
      <c r="G29" s="60">
        <f t="shared" si="0"/>
        <v>45</v>
      </c>
      <c r="H29" s="57" t="str">
        <f>TIEN_DO_THI_CONG_WBS!J31</f>
        <v>23/03/2027</v>
      </c>
      <c r="I29" t="str">
        <f t="shared" si="1"/>
        <v>4.0 - 0</v>
      </c>
      <c r="J29" s="60">
        <f t="shared" si="2"/>
        <v>129</v>
      </c>
      <c r="K29" s="60">
        <f t="shared" si="3"/>
        <v>45</v>
      </c>
    </row>
    <row r="30" spans="1:11" x14ac:dyDescent="0.3">
      <c r="A30" t="str">
        <f>TIEN_DO_THI_CONG_WBS!A32</f>
        <v>4.1</v>
      </c>
      <c r="B30" t="str">
        <f>TIEN_DO_THI_CONG_WBS!A32</f>
        <v>4.1</v>
      </c>
      <c r="C30" t="str">
        <f>TIEN_DO_THI_CONG_WBS!B32</f>
        <v>Lắp dựng cốt thép bản mặt cầu (lưới thép D6) &amp; ván khuôn treo</v>
      </c>
      <c r="D30">
        <f>TIEN_DO_THI_CONG_WBS!C32</f>
        <v>18.399999999999999</v>
      </c>
      <c r="E30" t="str">
        <f>TIEN_DO_THI_CONG_WBS!D32</f>
        <v>Tấn</v>
      </c>
      <c r="F30" s="56" t="str">
        <f>TIEN_DO_THI_CONG_WBS!I32</f>
        <v>2027-02-07</v>
      </c>
      <c r="G30" s="60">
        <f t="shared" si="0"/>
        <v>2</v>
      </c>
      <c r="H30" s="57" t="str">
        <f>TIEN_DO_THI_CONG_WBS!J32</f>
        <v>2027-02-08</v>
      </c>
      <c r="I30" t="str">
        <f t="shared" si="1"/>
        <v>4.1 - Lắp dựng cốt thép bản mặt cầu (lưới thép D6) &amp; ván khuôn treo</v>
      </c>
      <c r="J30" s="60">
        <f t="shared" si="2"/>
        <v>129</v>
      </c>
      <c r="K30" s="60">
        <f t="shared" si="3"/>
        <v>2</v>
      </c>
    </row>
    <row r="31" spans="1:11" x14ac:dyDescent="0.3">
      <c r="A31" t="str">
        <f>TIEN_DO_THI_CONG_WBS!A33</f>
        <v>4.2</v>
      </c>
      <c r="B31" t="str">
        <f>TIEN_DO_THI_CONG_WBS!A33</f>
        <v>4.2</v>
      </c>
      <c r="C31" t="str">
        <f>TIEN_DO_THI_CONG_WBS!B33</f>
        <v>Đổ bê tông bản mặt cầu tại chỗ (Bê tông 30 MPa)</v>
      </c>
      <c r="D31">
        <f>TIEN_DO_THI_CONG_WBS!C33</f>
        <v>11.04</v>
      </c>
      <c r="E31" t="str">
        <f>TIEN_DO_THI_CONG_WBS!D33</f>
        <v>m3</v>
      </c>
      <c r="F31" s="56" t="str">
        <f>TIEN_DO_THI_CONG_WBS!I33</f>
        <v>2027-02-09</v>
      </c>
      <c r="G31" s="60">
        <f t="shared" si="0"/>
        <v>2</v>
      </c>
      <c r="H31" s="57" t="str">
        <f>TIEN_DO_THI_CONG_WBS!J33</f>
        <v>2027-02-10</v>
      </c>
      <c r="I31" t="str">
        <f t="shared" si="1"/>
        <v>4.2 - Đổ bê tông bản mặt cầu tại chỗ (Bê tông 30 MPa)</v>
      </c>
      <c r="J31" s="60">
        <f t="shared" si="2"/>
        <v>131</v>
      </c>
      <c r="K31" s="60">
        <f t="shared" si="3"/>
        <v>2</v>
      </c>
    </row>
    <row r="32" spans="1:11" x14ac:dyDescent="0.3">
      <c r="A32" t="str">
        <f>TIEN_DO_THI_CONG_WBS!A34</f>
        <v>4.3</v>
      </c>
      <c r="B32" t="str">
        <f>TIEN_DO_THI_CONG_WBS!A34</f>
        <v>4.3</v>
      </c>
      <c r="C32" t="str">
        <f>TIEN_DO_THI_CONG_WBS!B34</f>
        <v>Dưỡng hộ bê tông bản mặt cầu (chờ đạt cường độ R14)</v>
      </c>
      <c r="D32">
        <f>TIEN_DO_THI_CONG_WBS!C34</f>
        <v>1</v>
      </c>
      <c r="E32" t="str">
        <f>TIEN_DO_THI_CONG_WBS!D34</f>
        <v>Đợt</v>
      </c>
      <c r="F32" s="56" t="str">
        <f>TIEN_DO_THI_CONG_WBS!I34</f>
        <v>2027-02-11</v>
      </c>
      <c r="G32" s="60">
        <f t="shared" si="0"/>
        <v>14</v>
      </c>
      <c r="H32" s="57" t="str">
        <f>TIEN_DO_THI_CONG_WBS!J34</f>
        <v>2027-02-24</v>
      </c>
      <c r="I32" t="str">
        <f t="shared" si="1"/>
        <v>4.3 - Dưỡng hộ bê tông bản mặt cầu (chờ đạt cường độ R14)</v>
      </c>
      <c r="J32" s="60">
        <f t="shared" si="2"/>
        <v>133</v>
      </c>
      <c r="K32" s="60">
        <f t="shared" si="3"/>
        <v>14</v>
      </c>
    </row>
    <row r="33" spans="1:11" x14ac:dyDescent="0.3">
      <c r="A33" t="str">
        <f>TIEN_DO_THI_CONG_WBS!A35</f>
        <v>4.4</v>
      </c>
      <c r="B33" t="str">
        <f>TIEN_DO_THI_CONG_WBS!A35</f>
        <v>4.4</v>
      </c>
      <c r="C33" t="str">
        <f>TIEN_DO_THI_CONG_WBS!B35</f>
        <v>Đổ gờ lan can bê tông, lắp dựng lan can thép mạ kẽm &amp; ống thoát D150</v>
      </c>
      <c r="D33">
        <f>TIEN_DO_THI_CONG_WBS!C35</f>
        <v>3753.75</v>
      </c>
      <c r="E33" t="str">
        <f>TIEN_DO_THI_CONG_WBS!D35</f>
        <v>md</v>
      </c>
      <c r="F33" s="56" t="str">
        <f>TIEN_DO_THI_CONG_WBS!I35</f>
        <v>2027-02-25</v>
      </c>
      <c r="G33" s="60">
        <f t="shared" si="0"/>
        <v>3</v>
      </c>
      <c r="H33" s="57" t="str">
        <f>TIEN_DO_THI_CONG_WBS!J35</f>
        <v>2027-02-27</v>
      </c>
      <c r="I33" t="str">
        <f t="shared" si="1"/>
        <v>4.4 - Đổ gờ lan can bê tông, lắp dựng lan can thép mạ kẽm &amp; ống thoát D150</v>
      </c>
      <c r="J33" s="60">
        <f t="shared" si="2"/>
        <v>147</v>
      </c>
      <c r="K33" s="60">
        <f t="shared" si="3"/>
        <v>3</v>
      </c>
    </row>
    <row r="34" spans="1:11" x14ac:dyDescent="0.3">
      <c r="A34" t="str">
        <f>TIEN_DO_THI_CONG_WBS!A36</f>
        <v>4.5</v>
      </c>
      <c r="B34" t="str">
        <f>TIEN_DO_THI_CONG_WBS!A36</f>
        <v>4.5</v>
      </c>
      <c r="C34" t="str">
        <f>TIEN_DO_THI_CONG_WBS!B36</f>
        <v>Lắp đặt 02 khe co giãn thép răng lược HP50 &amp; chèn vữa 50 MPa</v>
      </c>
      <c r="D34">
        <f>TIEN_DO_THI_CONG_WBS!C36</f>
        <v>168</v>
      </c>
      <c r="E34" t="str">
        <f>TIEN_DO_THI_CONG_WBS!D36</f>
        <v>md</v>
      </c>
      <c r="F34" s="56" t="str">
        <f>TIEN_DO_THI_CONG_WBS!I36</f>
        <v>2027-02-28</v>
      </c>
      <c r="G34" s="60">
        <f t="shared" si="0"/>
        <v>4</v>
      </c>
      <c r="H34" s="57" t="str">
        <f>TIEN_DO_THI_CONG_WBS!J36</f>
        <v>2027-03-03</v>
      </c>
      <c r="I34" t="str">
        <f t="shared" si="1"/>
        <v>4.5 - Lắp đặt 02 khe co giãn thép răng lược HP50 &amp; chèn vữa 50 MPa</v>
      </c>
      <c r="J34" s="60">
        <f t="shared" si="2"/>
        <v>150</v>
      </c>
      <c r="K34" s="60">
        <f t="shared" si="3"/>
        <v>4</v>
      </c>
    </row>
    <row r="35" spans="1:11" x14ac:dyDescent="0.3">
      <c r="A35" t="str">
        <f>TIEN_DO_THI_CONG_WBS!A37</f>
        <v>4.6</v>
      </c>
      <c r="B35" t="str">
        <f>TIEN_DO_THI_CONG_WBS!A37</f>
        <v>4.6</v>
      </c>
      <c r="C35" t="str">
        <f>TIEN_DO_THI_CONG_WBS!B37</f>
        <v>Phun lớp chống thấm mặt cầu &amp; thảm bê tông nhựa C12.5 dày 7cm</v>
      </c>
      <c r="D35">
        <f>TIEN_DO_THI_CONG_WBS!C37</f>
        <v>40</v>
      </c>
      <c r="E35" t="str">
        <f>TIEN_DO_THI_CONG_WBS!D37</f>
        <v>m2</v>
      </c>
      <c r="F35" s="56" t="str">
        <f>TIEN_DO_THI_CONG_WBS!I37</f>
        <v>2027-03-04</v>
      </c>
      <c r="G35" s="60">
        <f t="shared" si="0"/>
        <v>1</v>
      </c>
      <c r="H35" s="57" t="str">
        <f>TIEN_DO_THI_CONG_WBS!J37</f>
        <v>2027-03-04</v>
      </c>
      <c r="I35" t="str">
        <f t="shared" si="1"/>
        <v>4.6 - Phun lớp chống thấm mặt cầu &amp; thảm bê tông nhựa C12.5 dày 7cm</v>
      </c>
      <c r="J35" s="60">
        <f t="shared" si="2"/>
        <v>154</v>
      </c>
      <c r="K35" s="60">
        <f t="shared" si="3"/>
        <v>1</v>
      </c>
    </row>
    <row r="36" spans="1:11" x14ac:dyDescent="0.3">
      <c r="A36" t="str">
        <f>TIEN_DO_THI_CONG_WBS!A38</f>
        <v>4.7</v>
      </c>
      <c r="B36" t="str">
        <f>TIEN_DO_THI_CONG_WBS!A38</f>
        <v>4.7</v>
      </c>
      <c r="C36" t="str">
        <f>TIEN_DO_THI_CONG_WBS!B38</f>
        <v>Thi công 2 bản quá độ BTCT 25 MPa &amp; đắp đất chuyển tiếp K95</v>
      </c>
      <c r="D36">
        <f>TIEN_DO_THI_CONG_WBS!C38</f>
        <v>12</v>
      </c>
      <c r="E36" t="str">
        <f>TIEN_DO_THI_CONG_WBS!D38</f>
        <v>m3</v>
      </c>
      <c r="F36" s="56" t="str">
        <f>TIEN_DO_THI_CONG_WBS!I38</f>
        <v>2027-03-05</v>
      </c>
      <c r="G36" s="60">
        <f t="shared" si="0"/>
        <v>2</v>
      </c>
      <c r="H36" s="57" t="str">
        <f>TIEN_DO_THI_CONG_WBS!J38</f>
        <v>2027-03-06</v>
      </c>
      <c r="I36" t="str">
        <f t="shared" si="1"/>
        <v>4.7 - Thi công 2 bản quá độ BTCT 25 MPa &amp; đắp đất chuyển tiếp K95</v>
      </c>
      <c r="J36" s="60">
        <f t="shared" si="2"/>
        <v>155</v>
      </c>
      <c r="K36" s="60">
        <f t="shared" si="3"/>
        <v>2</v>
      </c>
    </row>
    <row r="37" spans="1:11" x14ac:dyDescent="0.3">
      <c r="A37" t="str">
        <f>TIEN_DO_THI_CONG_WBS!A39</f>
        <v>4.8</v>
      </c>
      <c r="B37" t="str">
        <f>TIEN_DO_THI_CONG_WBS!A39</f>
        <v>4.8</v>
      </c>
      <c r="C37" t="str">
        <f>TIEN_DO_THI_CONG_WBS!B39</f>
        <v>Gia cố ốp mái taluy mố bằng BTXM 20 MPa dày 20cm &amp; tường chắn</v>
      </c>
      <c r="D37">
        <f>TIEN_DO_THI_CONG_WBS!C39</f>
        <v>65</v>
      </c>
      <c r="E37" t="str">
        <f>TIEN_DO_THI_CONG_WBS!D39</f>
        <v>m3</v>
      </c>
      <c r="F37" s="56" t="str">
        <f>TIEN_DO_THI_CONG_WBS!I39</f>
        <v>2027-03-07</v>
      </c>
      <c r="G37" s="60">
        <f t="shared" si="0"/>
        <v>5</v>
      </c>
      <c r="H37" s="57" t="str">
        <f>TIEN_DO_THI_CONG_WBS!J39</f>
        <v>2027-03-11</v>
      </c>
      <c r="I37" t="str">
        <f t="shared" si="1"/>
        <v>4.8 - Gia cố ốp mái taluy mố bằng BTXM 20 MPa dày 20cm &amp; tường chắn</v>
      </c>
      <c r="J37" s="60">
        <f t="shared" si="2"/>
        <v>157</v>
      </c>
      <c r="K37" s="60">
        <f t="shared" si="3"/>
        <v>5</v>
      </c>
    </row>
    <row r="38" spans="1:11" x14ac:dyDescent="0.3">
      <c r="A38" t="str">
        <f>TIEN_DO_THI_CONG_WBS!A40</f>
        <v>4.9</v>
      </c>
      <c r="B38" t="str">
        <f>TIEN_DO_THI_CONG_WBS!A40</f>
        <v>4.9</v>
      </c>
      <c r="C38" t="str">
        <f>TIEN_DO_THI_CONG_WBS!B40</f>
        <v>Thi công kết cấu nền mặt đường hai đầu cầu nối tuyến</v>
      </c>
      <c r="D38">
        <f>TIEN_DO_THI_CONG_WBS!C40</f>
        <v>1</v>
      </c>
      <c r="E38" t="str">
        <f>TIEN_DO_THI_CONG_WBS!D40</f>
        <v>Gói</v>
      </c>
      <c r="F38" s="56" t="str">
        <f>TIEN_DO_THI_CONG_WBS!I40</f>
        <v>2027-03-12</v>
      </c>
      <c r="G38" s="60">
        <f t="shared" si="0"/>
        <v>8</v>
      </c>
      <c r="H38" s="57" t="str">
        <f>TIEN_DO_THI_CONG_WBS!J40</f>
        <v>2027-03-19</v>
      </c>
      <c r="I38" t="str">
        <f t="shared" si="1"/>
        <v>4.9 - Thi công kết cấu nền mặt đường hai đầu cầu nối tuyến</v>
      </c>
      <c r="J38" s="60">
        <f t="shared" si="2"/>
        <v>162</v>
      </c>
      <c r="K38" s="60">
        <f t="shared" si="3"/>
        <v>8</v>
      </c>
    </row>
    <row r="39" spans="1:11" x14ac:dyDescent="0.3">
      <c r="A39" t="str">
        <f>TIEN_DO_THI_CONG_WBS!A41</f>
        <v>4.10</v>
      </c>
      <c r="B39" t="str">
        <f>TIEN_DO_THI_CONG_WBS!A41</f>
        <v>4.10</v>
      </c>
      <c r="C39" t="str">
        <f>TIEN_DO_THI_CONG_WBS!B41</f>
        <v>Thử tải cầu, kiểm định tĩnh/động &amp; nghiệm thu bàn giao</v>
      </c>
      <c r="D39">
        <f>TIEN_DO_THI_CONG_WBS!C41</f>
        <v>1</v>
      </c>
      <c r="E39" t="str">
        <f>TIEN_DO_THI_CONG_WBS!D41</f>
        <v>Gói</v>
      </c>
      <c r="F39" s="56" t="str">
        <f>TIEN_DO_THI_CONG_WBS!I41</f>
        <v>2027-03-20</v>
      </c>
      <c r="G39" s="60">
        <f t="shared" si="0"/>
        <v>4</v>
      </c>
      <c r="H39" s="57" t="str">
        <f>TIEN_DO_THI_CONG_WBS!J41</f>
        <v>2027-03-23</v>
      </c>
      <c r="I39" t="str">
        <f t="shared" si="1"/>
        <v>4.10 - Thử tải cầu, kiểm định tĩnh/động &amp; nghiệm thu bàn giao</v>
      </c>
      <c r="J39" s="60">
        <f t="shared" si="2"/>
        <v>170</v>
      </c>
      <c r="K39" s="60">
        <f t="shared" si="3"/>
        <v>4</v>
      </c>
    </row>
  </sheetData>
  <mergeCells count="2">
    <mergeCell ref="A2:K2"/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QS_DIEN_GIAI_CHI_TIET</vt:lpstr>
      <vt:lpstr>TONG_HOP_DU_TOAN_GXD</vt:lpstr>
      <vt:lpstr>TO_HOP_CAT_THEP_11M7</vt:lpstr>
      <vt:lpstr>KHOI_LUONG_DAO_DAP</vt:lpstr>
      <vt:lpstr>TIEN_DO_THI_CONG_WBS</vt:lpstr>
      <vt:lpstr>HOSO_KCS_NGHIEM_THU</vt:lpstr>
      <vt:lpstr>BIEU_DO_GANTT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2026-09-24T09:12:21Z</dcterms:created>
  <dcterms:modified xsi:type="dcterms:W3CDTF">2026-09-25T09:51:46Z</dcterms:modified>
</cp:coreProperties>
</file>