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_BOC_BE_TONG_VAN_KHUON" sheetId="1" state="visible" r:id="rId1"/>
    <sheet xmlns:r="http://schemas.openxmlformats.org/officeDocument/2006/relationships" name="DO_BOC_DAO_DAP_MAT_C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name val="Times New Roman"/>
      <b val="1"/>
      <color rgb="001F497D"/>
      <sz val="13"/>
    </font>
    <font>
      <name val="Times New Roman"/>
      <i val="1"/>
      <sz val="10"/>
    </font>
    <font>
      <name val="Times New Roman"/>
      <b val="1"/>
      <color rgb="00FFFFFF"/>
      <sz val="9"/>
    </font>
    <font>
      <name val="Times New Roman"/>
      <sz val="9"/>
    </font>
    <font>
      <name val="Times New Roman"/>
      <b val="1"/>
      <sz val="9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5" fillId="3" borderId="0" pivotButton="0" quotePrefix="0" xfId="0"/>
    <xf numFmtId="164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16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14" customWidth="1" min="9" max="9"/>
    <col width="16" customWidth="1" min="10" max="10"/>
  </cols>
  <sheetData>
    <row r="2">
      <c r="B2" s="1" t="inlineStr">
        <is>
          <t>BẢNG ĐO BÓC KHỐI LƯỢNG HÌNH HỌC BÊ TÔNG &amp; VÁN KHUÔN TỪ BẢN VẼ CAD</t>
        </is>
      </c>
    </row>
    <row r="3">
      <c r="B3" s="2" t="inlineStr">
        <is>
          <t>Nguyên tắc: 100% công thức sống = Số lượng x Dài x Rộng x Cao x Hệ số</t>
        </is>
      </c>
    </row>
    <row r="5">
      <c r="A5" s="3" t="inlineStr">
        <is>
          <t>STT</t>
        </is>
      </c>
      <c r="B5" s="3" t="inlineStr">
        <is>
          <t>Hạng mục kết cấu</t>
        </is>
      </c>
      <c r="C5" s="3" t="inlineStr">
        <is>
          <t>ĐVT</t>
        </is>
      </c>
      <c r="D5" s="3" t="inlineStr">
        <is>
          <t>Số lượng (E)</t>
        </is>
      </c>
      <c r="E5" s="3" t="inlineStr">
        <is>
          <t>Dài (F)</t>
        </is>
      </c>
      <c r="F5" s="3" t="inlineStr">
        <is>
          <t>Rộng (G)</t>
        </is>
      </c>
      <c r="G5" s="3" t="inlineStr">
        <is>
          <t>Cao (H)</t>
        </is>
      </c>
      <c r="H5" s="3" t="inlineStr">
        <is>
          <t>Hệ số (I)</t>
        </is>
      </c>
      <c r="I5" s="3" t="inlineStr">
        <is>
          <t>Khối lượng (J)</t>
        </is>
      </c>
      <c r="J5" s="3" t="inlineStr">
        <is>
          <t>Ghi chú</t>
        </is>
      </c>
    </row>
    <row r="6">
      <c r="A6" s="4" t="n">
        <v>1</v>
      </c>
      <c r="B6" s="5" t="inlineStr">
        <is>
          <t>Bê tông Cọc khoan nhồi D1200mm (26 cọc L=44m)</t>
        </is>
      </c>
      <c r="C6" s="4" t="inlineStr">
        <is>
          <t>m3</t>
        </is>
      </c>
      <c r="D6" s="6" t="n">
        <v>26</v>
      </c>
      <c r="E6" s="6" t="n">
        <v>44</v>
      </c>
      <c r="F6" s="6" t="n">
        <v>1.131</v>
      </c>
      <c r="G6" s="6" t="n">
        <v>1</v>
      </c>
      <c r="H6" s="6" t="n">
        <v>1</v>
      </c>
      <c r="I6" s="7">
        <f>D6*E6*F6*G6*H6</f>
        <v/>
      </c>
      <c r="J6" s="5" t="inlineStr">
        <is>
          <t>Pi*R^2=1.131 m2</t>
        </is>
      </c>
    </row>
    <row r="7">
      <c r="A7" s="4" t="n">
        <v>2</v>
      </c>
      <c r="B7" s="5" t="inlineStr">
        <is>
          <t>Bê tông lót đáy bệ móng mác C10 dày 10cm</t>
        </is>
      </c>
      <c r="C7" s="4" t="inlineStr">
        <is>
          <t>m3</t>
        </is>
      </c>
      <c r="D7" s="6" t="n">
        <v>4</v>
      </c>
      <c r="E7" s="6" t="n">
        <v>13</v>
      </c>
      <c r="F7" s="6" t="n">
        <v>6.5</v>
      </c>
      <c r="G7" s="6" t="n">
        <v>0.1</v>
      </c>
      <c r="H7" s="6" t="n">
        <v>1</v>
      </c>
      <c r="I7" s="7">
        <f>D7*E7*F7*G7*H7</f>
        <v/>
      </c>
      <c r="J7" s="5" t="inlineStr">
        <is>
          <t>M1, M2, T1, T2</t>
        </is>
      </c>
    </row>
    <row r="8">
      <c r="A8" s="4" t="n">
        <v>3</v>
      </c>
      <c r="B8" s="5" t="inlineStr">
        <is>
          <t>Bê tông Bệ móng mố M1, M2 chân dê mác C30</t>
        </is>
      </c>
      <c r="C8" s="4" t="inlineStr">
        <is>
          <t>m3</t>
        </is>
      </c>
      <c r="D8" s="6" t="n">
        <v>2</v>
      </c>
      <c r="E8" s="6" t="n">
        <v>13</v>
      </c>
      <c r="F8" s="6" t="n">
        <v>6</v>
      </c>
      <c r="G8" s="6" t="n">
        <v>2</v>
      </c>
      <c r="H8" s="6" t="n">
        <v>1</v>
      </c>
      <c r="I8" s="7">
        <f>D8*E8*F8*G8*H8</f>
        <v/>
      </c>
      <c r="J8" s="5" t="inlineStr">
        <is>
          <t>h=2.0m</t>
        </is>
      </c>
    </row>
    <row r="9">
      <c r="A9" s="4" t="n">
        <v>4</v>
      </c>
      <c r="B9" s="5" t="inlineStr">
        <is>
          <t>Bê tông Bệ móng trụ T1, T2 thân đặc mác C30</t>
        </is>
      </c>
      <c r="C9" s="4" t="inlineStr">
        <is>
          <t>m3</t>
        </is>
      </c>
      <c r="D9" s="6" t="n">
        <v>2</v>
      </c>
      <c r="E9" s="6" t="n">
        <v>13</v>
      </c>
      <c r="F9" s="6" t="n">
        <v>6.5</v>
      </c>
      <c r="G9" s="6" t="n">
        <v>2.5</v>
      </c>
      <c r="H9" s="6" t="n">
        <v>1</v>
      </c>
      <c r="I9" s="7">
        <f>D9*E9*F9*G9*H9</f>
        <v/>
      </c>
      <c r="J9" s="5" t="inlineStr">
        <is>
          <t>h=2.5m</t>
        </is>
      </c>
    </row>
    <row r="10">
      <c r="A10" s="4" t="n">
        <v>5</v>
      </c>
      <c r="B10" s="5" t="inlineStr">
        <is>
          <t>Bê tông Thân mố M1, M2 mác C30</t>
        </is>
      </c>
      <c r="C10" s="4" t="inlineStr">
        <is>
          <t>m3</t>
        </is>
      </c>
      <c r="D10" s="6" t="n">
        <v>2</v>
      </c>
      <c r="E10" s="6" t="n">
        <v>12</v>
      </c>
      <c r="F10" s="6" t="n">
        <v>1.5</v>
      </c>
      <c r="G10" s="6" t="n">
        <v>6.5</v>
      </c>
      <c r="H10" s="6" t="n">
        <v>1</v>
      </c>
      <c r="I10" s="7">
        <f>D10*E10*F10*G10*H10</f>
        <v/>
      </c>
      <c r="J10" s="5" t="inlineStr">
        <is>
          <t>H=6.5m</t>
        </is>
      </c>
    </row>
    <row r="11">
      <c r="A11" s="4" t="n">
        <v>6</v>
      </c>
      <c r="B11" s="5" t="inlineStr">
        <is>
          <t>Bê tông Thân trụ đặc T1, T2 mác C30</t>
        </is>
      </c>
      <c r="C11" s="4" t="inlineStr">
        <is>
          <t>m3</t>
        </is>
      </c>
      <c r="D11" s="6" t="n">
        <v>2</v>
      </c>
      <c r="E11" s="6" t="n">
        <v>8</v>
      </c>
      <c r="F11" s="6" t="n">
        <v>2.2</v>
      </c>
      <c r="G11" s="6" t="n">
        <v>14.5</v>
      </c>
      <c r="H11" s="6" t="n">
        <v>1</v>
      </c>
      <c r="I11" s="7">
        <f>D11*E11*F11*G11*H11</f>
        <v/>
      </c>
      <c r="J11" s="5" t="inlineStr">
        <is>
          <t>H=14.5m</t>
        </is>
      </c>
    </row>
    <row r="12">
      <c r="A12" s="4" t="n">
        <v>7</v>
      </c>
      <c r="B12" s="5" t="inlineStr">
        <is>
          <t>Bê tông Xà mũ trụ T1, T2 mác C35</t>
        </is>
      </c>
      <c r="C12" s="4" t="inlineStr">
        <is>
          <t>m3</t>
        </is>
      </c>
      <c r="D12" s="6" t="n">
        <v>2</v>
      </c>
      <c r="E12" s="6" t="n">
        <v>12.8</v>
      </c>
      <c r="F12" s="6" t="n">
        <v>2.4</v>
      </c>
      <c r="G12" s="6" t="n">
        <v>1.8</v>
      </c>
      <c r="H12" s="6" t="n">
        <v>1</v>
      </c>
      <c r="I12" s="7">
        <f>D12*E12*F12*G12*H12</f>
        <v/>
      </c>
      <c r="J12" s="5" t="inlineStr">
        <is>
          <t>Console vát</t>
        </is>
      </c>
    </row>
    <row r="13">
      <c r="A13" s="4" t="n">
        <v>8</v>
      </c>
      <c r="B13" s="5" t="inlineStr">
        <is>
          <t>Bê tông Dầm chủ Super-T L=38.2m (15 dầm) C45</t>
        </is>
      </c>
      <c r="C13" s="4" t="inlineStr">
        <is>
          <t>m3</t>
        </is>
      </c>
      <c r="D13" s="6" t="n">
        <v>15</v>
      </c>
      <c r="E13" s="6" t="n">
        <v>38.2</v>
      </c>
      <c r="F13" s="6" t="n">
        <v>0.945</v>
      </c>
      <c r="G13" s="6" t="n">
        <v>1</v>
      </c>
      <c r="H13" s="6" t="n">
        <v>1</v>
      </c>
      <c r="I13" s="7">
        <f>D13*E13*F13*G13*H13</f>
        <v/>
      </c>
      <c r="J13" s="5" t="inlineStr">
        <is>
          <t>A_mc=0.945 m2</t>
        </is>
      </c>
    </row>
    <row r="14">
      <c r="A14" s="4" t="n">
        <v>9</v>
      </c>
      <c r="B14" s="5" t="inlineStr">
        <is>
          <t>Bê tông Bản mặt cầu C35 dày 20cm</t>
        </is>
      </c>
      <c r="C14" s="4" t="inlineStr">
        <is>
          <t>m3</t>
        </is>
      </c>
      <c r="D14" s="6" t="n">
        <v>1</v>
      </c>
      <c r="E14" s="6" t="n">
        <v>120</v>
      </c>
      <c r="F14" s="6" t="n">
        <v>12</v>
      </c>
      <c r="G14" s="6" t="n">
        <v>0.2</v>
      </c>
      <c r="H14" s="6" t="n">
        <v>1</v>
      </c>
      <c r="I14" s="7">
        <f>D14*E14*F14*G14*H14</f>
        <v/>
      </c>
      <c r="J14" s="5" t="inlineStr">
        <is>
          <t>Toàn cầu L=120m</t>
        </is>
      </c>
    </row>
    <row r="15">
      <c r="A15" s="4" t="n">
        <v>10</v>
      </c>
      <c r="B15" s="5" t="inlineStr">
        <is>
          <t>Bê tông Gờ lan can &amp; Bản quá độ C25</t>
        </is>
      </c>
      <c r="C15" s="4" t="inlineStr">
        <is>
          <t>m3</t>
        </is>
      </c>
      <c r="D15" s="6" t="n">
        <v>2</v>
      </c>
      <c r="E15" s="6" t="n">
        <v>8</v>
      </c>
      <c r="F15" s="6" t="n">
        <v>12</v>
      </c>
      <c r="G15" s="6" t="n">
        <v>0.3</v>
      </c>
      <c r="H15" s="6" t="n">
        <v>1</v>
      </c>
      <c r="I15" s="7">
        <f>D15*E15*F15*G15*H15</f>
        <v/>
      </c>
      <c r="J15" s="5" t="inlineStr">
        <is>
          <t>Bản quá độ L=8m</t>
        </is>
      </c>
    </row>
    <row r="16">
      <c r="B16" s="8" t="inlineStr">
        <is>
          <t>TỔNG CỘNG THỂ TÍCH BÊ TÔNG (m3)</t>
        </is>
      </c>
      <c r="I16" s="9">
        <f>SUM(I6:I15)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15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14" customWidth="1" min="9" max="9"/>
    <col width="16" customWidth="1" min="10" max="10"/>
  </cols>
  <sheetData>
    <row r="2">
      <c r="B2" s="1" t="inlineStr">
        <is>
          <t>BẢNG TÍNH KHỐI LƯỢNG ĐÀO ĐẮP THEO MẶT CẮT NGANG (AVERAGE-END-AREA)</t>
        </is>
      </c>
    </row>
    <row r="5">
      <c r="A5" s="3" t="inlineStr">
        <is>
          <t>STT</t>
        </is>
      </c>
      <c r="B5" s="3" t="inlineStr">
        <is>
          <t>Từ cọc / Lý trình</t>
        </is>
      </c>
      <c r="C5" s="3" t="inlineStr">
        <is>
          <t>Đến cọc / Lý trình</t>
        </is>
      </c>
      <c r="D5" s="3" t="inlineStr">
        <is>
          <t>Cự ly L (m)</t>
        </is>
      </c>
      <c r="E5" s="3" t="inlineStr">
        <is>
          <t>F_đào 1 (m2)</t>
        </is>
      </c>
      <c r="F5" s="3" t="inlineStr">
        <is>
          <t>F_đào 2 (m2)</t>
        </is>
      </c>
      <c r="G5" s="3" t="inlineStr">
        <is>
          <t>V_đào (m3)</t>
        </is>
      </c>
      <c r="H5" s="3" t="inlineStr">
        <is>
          <t>F_đắp 1 (m2)</t>
        </is>
      </c>
      <c r="I5" s="3" t="inlineStr">
        <is>
          <t>F_đắp 2 (m2)</t>
        </is>
      </c>
      <c r="J5" s="3" t="inlineStr">
        <is>
          <t>V_đắp (m3)</t>
        </is>
      </c>
    </row>
    <row r="6">
      <c r="A6" s="4" t="n">
        <v>1</v>
      </c>
      <c r="B6" s="5" t="inlineStr">
        <is>
          <t>Km 0+00.00</t>
        </is>
      </c>
      <c r="C6" s="5" t="inlineStr">
        <is>
          <t>Km 0+10.00</t>
        </is>
      </c>
      <c r="D6" s="6" t="n">
        <v>10</v>
      </c>
      <c r="E6" s="6" t="n">
        <v>51.47</v>
      </c>
      <c r="F6" s="6" t="n">
        <v>33.55</v>
      </c>
      <c r="G6" s="7">
        <f>((E6+F6)/2)*D6</f>
        <v/>
      </c>
      <c r="H6" s="6" t="n">
        <v>0</v>
      </c>
      <c r="I6" s="6" t="n">
        <v>0</v>
      </c>
      <c r="J6" s="7">
        <f>((H6+I6)/2)*D6</f>
        <v/>
      </c>
    </row>
    <row r="7">
      <c r="A7" s="4" t="n">
        <v>2</v>
      </c>
      <c r="B7" s="5" t="inlineStr">
        <is>
          <t>Km 0+10.00</t>
        </is>
      </c>
      <c r="C7" s="5" t="inlineStr">
        <is>
          <t>Cọc TD1 (Km 0+18.12)</t>
        </is>
      </c>
      <c r="D7" s="6" t="n">
        <v>8.119999999999999</v>
      </c>
      <c r="E7" s="6" t="n">
        <v>33.55</v>
      </c>
      <c r="F7" s="6" t="n">
        <v>10.5</v>
      </c>
      <c r="G7" s="7">
        <f>((E7+F7)/2)*D7</f>
        <v/>
      </c>
      <c r="H7" s="6" t="n">
        <v>0</v>
      </c>
      <c r="I7" s="6" t="n">
        <v>0</v>
      </c>
      <c r="J7" s="7">
        <f>((H7+I7)/2)*D7</f>
        <v/>
      </c>
    </row>
    <row r="8">
      <c r="A8" s="4" t="n">
        <v>3</v>
      </c>
      <c r="B8" s="5" t="inlineStr">
        <is>
          <t>Cọc TD1</t>
        </is>
      </c>
      <c r="C8" s="5" t="inlineStr">
        <is>
          <t>Cọc 2 (Km 0+20.00)</t>
        </is>
      </c>
      <c r="D8" s="6" t="n">
        <v>1.88</v>
      </c>
      <c r="E8" s="6" t="n">
        <v>10.5</v>
      </c>
      <c r="F8" s="6" t="n">
        <v>9.18</v>
      </c>
      <c r="G8" s="7">
        <f>((E8+F8)/2)*D8</f>
        <v/>
      </c>
      <c r="H8" s="6" t="n">
        <v>0</v>
      </c>
      <c r="I8" s="6" t="n">
        <v>0</v>
      </c>
      <c r="J8" s="7">
        <f>((H8+I8)/2)*D8</f>
        <v/>
      </c>
    </row>
    <row r="9">
      <c r="A9" s="4" t="n">
        <v>4</v>
      </c>
      <c r="B9" s="5" t="inlineStr">
        <is>
          <t>Cọc 2</t>
        </is>
      </c>
      <c r="C9" s="5" t="inlineStr">
        <is>
          <t>Cọc P1 (Km 0+21.65)</t>
        </is>
      </c>
      <c r="D9" s="6" t="n">
        <v>1.65</v>
      </c>
      <c r="E9" s="6" t="n">
        <v>9.18</v>
      </c>
      <c r="F9" s="6" t="n">
        <v>9.02</v>
      </c>
      <c r="G9" s="7">
        <f>((E9+F9)/2)*D9</f>
        <v/>
      </c>
      <c r="H9" s="6" t="n">
        <v>0</v>
      </c>
      <c r="I9" s="6" t="n">
        <v>0.22</v>
      </c>
      <c r="J9" s="7">
        <f>((H9+I9)/2)*D9</f>
        <v/>
      </c>
    </row>
    <row r="10">
      <c r="A10" s="4" t="n">
        <v>5</v>
      </c>
      <c r="B10" s="5" t="inlineStr">
        <is>
          <t>Cọc P1</t>
        </is>
      </c>
      <c r="C10" s="5" t="inlineStr">
        <is>
          <t>Cọc TC1 (Km 0+25.17)</t>
        </is>
      </c>
      <c r="D10" s="6" t="n">
        <v>3.52</v>
      </c>
      <c r="E10" s="6" t="n">
        <v>9.02</v>
      </c>
      <c r="F10" s="6" t="n">
        <v>11.58</v>
      </c>
      <c r="G10" s="7">
        <f>((E10+F10)/2)*D10</f>
        <v/>
      </c>
      <c r="H10" s="6" t="n">
        <v>0.22</v>
      </c>
      <c r="I10" s="6" t="n">
        <v>3.2</v>
      </c>
      <c r="J10" s="7">
        <f>((H10+I10)/2)*D10</f>
        <v/>
      </c>
    </row>
    <row r="11">
      <c r="A11" s="4" t="n">
        <v>6</v>
      </c>
      <c r="B11" s="5" t="inlineStr">
        <is>
          <t>Đào móng M1</t>
        </is>
      </c>
      <c r="C11" s="5" t="inlineStr">
        <is>
          <t>Hố móng sâu 3m</t>
        </is>
      </c>
      <c r="D11" s="6" t="n">
        <v>12</v>
      </c>
      <c r="E11" s="6" t="n">
        <v>36.5</v>
      </c>
      <c r="F11" s="6" t="n">
        <v>36.5</v>
      </c>
      <c r="G11" s="7">
        <f>((E11+F11)/2)*D11</f>
        <v/>
      </c>
      <c r="H11" s="6" t="n">
        <v>0</v>
      </c>
      <c r="I11" s="6" t="n">
        <v>0</v>
      </c>
      <c r="J11" s="7">
        <f>((H11+I11)/2)*D11</f>
        <v/>
      </c>
    </row>
    <row r="12">
      <c r="A12" s="4" t="n">
        <v>7</v>
      </c>
      <c r="B12" s="5" t="inlineStr">
        <is>
          <t>Đào móng M2</t>
        </is>
      </c>
      <c r="C12" s="5" t="inlineStr">
        <is>
          <t>Hố móng sâu 3m</t>
        </is>
      </c>
      <c r="D12" s="6" t="n">
        <v>14</v>
      </c>
      <c r="E12" s="6" t="n">
        <v>42</v>
      </c>
      <c r="F12" s="6" t="n">
        <v>42</v>
      </c>
      <c r="G12" s="7">
        <f>((E12+F12)/2)*D12</f>
        <v/>
      </c>
      <c r="H12" s="6" t="n">
        <v>0</v>
      </c>
      <c r="I12" s="6" t="n">
        <v>0</v>
      </c>
      <c r="J12" s="7">
        <f>((H12+I12)/2)*D12</f>
        <v/>
      </c>
    </row>
    <row r="13">
      <c r="A13" s="4" t="n">
        <v>8</v>
      </c>
      <c r="B13" s="5" t="inlineStr">
        <is>
          <t>Đào móng T1</t>
        </is>
      </c>
      <c r="C13" s="5" t="inlineStr">
        <is>
          <t>Hố móng sông sâu 4m</t>
        </is>
      </c>
      <c r="D13" s="6" t="n">
        <v>15</v>
      </c>
      <c r="E13" s="6" t="n">
        <v>55</v>
      </c>
      <c r="F13" s="6" t="n">
        <v>55</v>
      </c>
      <c r="G13" s="7">
        <f>((E13+F13)/2)*D13</f>
        <v/>
      </c>
      <c r="H13" s="6" t="n">
        <v>0</v>
      </c>
      <c r="I13" s="6" t="n">
        <v>0</v>
      </c>
      <c r="J13" s="7">
        <f>((H13+I13)/2)*D13</f>
        <v/>
      </c>
    </row>
    <row r="14">
      <c r="A14" s="4" t="n">
        <v>9</v>
      </c>
      <c r="B14" s="5" t="inlineStr">
        <is>
          <t>Đào móng T2</t>
        </is>
      </c>
      <c r="C14" s="5" t="inlineStr">
        <is>
          <t>Hố móng sông sâu 4m</t>
        </is>
      </c>
      <c r="D14" s="6" t="n">
        <v>15</v>
      </c>
      <c r="E14" s="6" t="n">
        <v>52</v>
      </c>
      <c r="F14" s="6" t="n">
        <v>52</v>
      </c>
      <c r="G14" s="7">
        <f>((E14+F14)/2)*D14</f>
        <v/>
      </c>
      <c r="H14" s="6" t="n">
        <v>0</v>
      </c>
      <c r="I14" s="6" t="n">
        <v>0</v>
      </c>
      <c r="J14" s="7">
        <f>((H14+I14)/2)*D14</f>
        <v/>
      </c>
    </row>
    <row r="15">
      <c r="B15" s="8" t="inlineStr">
        <is>
          <t>TỔNG CỘNG KHỐI LƯỢNG ĐÀO ĐẮP (m3)</t>
        </is>
      </c>
      <c r="G15" s="9">
        <f>SUM(G6:G14)</f>
        <v/>
      </c>
      <c r="J15" s="9">
        <f>SUM(J6:J14)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2026-09-26T02:21:56Z</dcterms:created>
  <dcterms:modified xmlns:dcterms="http://purl.org/dc/terms/" xmlns:xsi="http://www.w3.org/2001/XMLSchema-instance" xsi:type="dcterms:W3CDTF">2026-09-26T02:21:56Z</dcterms:modified>
</cp:coreProperties>
</file>